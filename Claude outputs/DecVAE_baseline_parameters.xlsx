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0400" tabRatio="500" activeTab="3"/>
  </bookViews>
  <sheets>
    <sheet name="Overview" sheetId="1" r:id="rId1"/>
    <sheet name="Shared protocol" sheetId="2" r:id="rId2"/>
    <sheet name="Pre-training" sheetId="3" r:id="rId3"/>
    <sheet name="Fine-tuning" sheetId="4" r:id="rId4"/>
    <sheet name="Evaluation" sheetId="5" r:id="rId5"/>
    <sheet name="Tracker" sheetId="6" r:id="rId6"/>
  </sheets>
  <definedNames>
    <definedName name="_xlnm._FilterDatabase" localSheetId="1" hidden="1">'Shared protocol'!$A$1:$I$19</definedName>
    <definedName name="_xlnm._FilterDatabase" localSheetId="2" hidden="1">'Pre-training'!$A$1:$O$106</definedName>
    <definedName name="_xlnm._FilterDatabase" localSheetId="3" hidden="1">'Fine-tuning'!$A$1:$H$18</definedName>
    <definedName name="_xlnm._FilterDatabase" localSheetId="4" hidden="1">Evaluation!$A$1:$J$27</definedName>
    <definedName name="_xlnm._FilterDatabase" localSheetId="5" hidden="1">Tracker!$A$1:$H$20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<sst xmlns="http://schemas.openxmlformats.org/spreadsheetml/2006/main" count="1880" uniqueCount="862">
  <si>
    <t>DecVAE revision: baseline parameter record</t>
  </si>
  <si>
    <t>Pre-training, fine-tuning and evaluation settings of DecVAE and the trained baselines (CoST, TF-C, TCL, CPC, FHVAE), with reference values and every deviation.</t>
  </si>
  <si>
    <t>Reference values were read from the reference repositories; line numbers point to those files. 'Config now' columns were read from config_files/ on the date below.</t>
  </si>
  <si>
    <t>Snapshot date: 2026-09-21</t>
  </si>
  <si>
    <t>Sheets</t>
  </si>
  <si>
    <t>Shared protocol</t>
  </si>
  <si>
    <t>Settings held constant across methods (the matched protocol).</t>
  </si>
  <si>
    <t>Pre-training</t>
  </si>
  <si>
    <t>Per-method parameters: reference value, agreed value, current config, deviation, rationale.</t>
  </si>
  <si>
    <t>Fine-tuning</t>
  </si>
  <si>
    <t>IEMOCAP transfer settings.</t>
  </si>
  <si>
    <t>Evaluation</t>
  </si>
  <si>
    <t>Metrics, factors, and which vector each method is evaluated on.</t>
  </si>
  <si>
    <t>Tracker</t>
  </si>
  <si>
    <t>Open implementation items found while recording the parameters.</t>
  </si>
  <si>
    <t>How to use</t>
  </si>
  <si>
    <t>Yellow cells</t>
  </si>
  <si>
    <t>Editable: agreed values, current config, rationale, status.</t>
  </si>
  <si>
    <t>Config check</t>
  </si>
  <si>
    <t>Formula: compares agreed vs config-now values. 'differs' = config still needs changing.</t>
  </si>
  <si>
    <t>Status</t>
  </si>
  <si>
    <t>Final / Decided (user) / To confirm / To fix / To implement (drop-down).</t>
  </si>
  <si>
    <t>Deviation</t>
  </si>
  <si>
    <t>Yes = differs from the reference implementation; filter on it for the reviewer-facing list.</t>
  </si>
  <si>
    <t>For the SI</t>
  </si>
  <si>
    <t>Hide the 'config now', 'Config check' and 'Status' columns and the Tracker sheet.</t>
  </si>
  <si>
    <t>Status by method (Pre-training sheet)</t>
  </si>
  <si>
    <t>Method</t>
  </si>
  <si>
    <t>Parameters</t>
  </si>
  <si>
    <t>Deviations</t>
  </si>
  <si>
    <t>Final</t>
  </si>
  <si>
    <t>Decided (user)</t>
  </si>
  <si>
    <t>To confirm</t>
  </si>
  <si>
    <t>To fix</t>
  </si>
  <si>
    <t>To implement</t>
  </si>
  <si>
    <t>DecVAE</t>
  </si>
  <si>
    <t>CoST</t>
  </si>
  <si>
    <t>TF-C</t>
  </si>
  <si>
    <t>TCL</t>
  </si>
  <si>
    <t>CPC</t>
  </si>
  <si>
    <t>FHVAE</t>
  </si>
  <si>
    <t>Total</t>
  </si>
  <si>
    <t>Open tracker items by priority</t>
  </si>
  <si>
    <t>Critical</t>
  </si>
  <si>
    <t>High</t>
  </si>
  <si>
    <t>Medium</t>
  </si>
  <si>
    <t>Low</t>
  </si>
  <si>
    <t>Config rows still differing from the agreed value</t>
  </si>
  <si>
    <t>ID</t>
  </si>
  <si>
    <t>Category</t>
  </si>
  <si>
    <t>Setting</t>
  </si>
  <si>
    <t>SimVowels</t>
  </si>
  <si>
    <t>TIMIT</t>
  </si>
  <si>
    <t>IEMOCAP</t>
  </si>
  <si>
    <t>Applies to</t>
  </si>
  <si>
    <t>Source / rationale</t>
  </si>
  <si>
    <t>S-01</t>
  </si>
  <si>
    <t>Data</t>
  </si>
  <si>
    <t>Max utterance duration</t>
  </si>
  <si>
    <t>4.0 s</t>
  </si>
  <si>
    <t>7.15 s</t>
  </si>
  <si>
    <t>7.0 s</t>
  </si>
  <si>
    <t>All</t>
  </si>
  <si>
    <t>SI Table 3 / configs</t>
  </si>
  <si>
    <t>S-02</t>
  </si>
  <si>
    <t>Min utterance duration</t>
  </si>
  <si>
    <t>0 s</t>
  </si>
  <si>
    <t>1 s (SI Table 3); configs hold 0.0</t>
  </si>
  <si>
    <t>configs hold 0.0</t>
  </si>
  <si>
    <t>SI states 1 s for real data; configs use 0.0. Align.</t>
  </si>
  <si>
    <t>S-03</t>
  </si>
  <si>
    <t>Splits</t>
  </si>
  <si>
    <t>train / dev / test caches (EWT, NoC 3)</t>
  </si>
  <si>
    <t>train / dev speakers / core test (NoC 4)</t>
  </si>
  <si>
    <t>transfer: fine-tune on IEMOCAP from SimVowels or TIMIT</t>
  </si>
  <si>
    <t>config_files</t>
  </si>
  <si>
    <t>S-04</t>
  </si>
  <si>
    <t>Evaluation data subset</t>
  </si>
  <si>
    <t>full</t>
  </si>
  <si>
    <t>trained baselines point to *_subset5pct caches; DecVAE / SSL / PCA / SFA use full</t>
  </si>
  <si>
    <t>trained baselines point to *_subset5pct</t>
  </si>
  <si>
    <t>Final runs must use the same (full) sets for every method.</t>
  </si>
  <si>
    <t>S-05</t>
  </si>
  <si>
    <t>Front-end</t>
  </si>
  <si>
    <t>Input features</t>
  </si>
  <si>
    <t>mel 80, mel_hops 4 (400-dim patch per frame), global norm</t>
  </si>
  <si>
    <t>same</t>
  </si>
  <si>
    <t>All except TF-C (waveform)</t>
  </si>
  <si>
    <t>Methods p.21 L546-548; SI Tables 3, 6-8</t>
  </si>
  <si>
    <t>S-06</t>
  </si>
  <si>
    <t>Frame grid</t>
  </si>
  <si>
    <t>25 ms window, 20 ms hop</t>
  </si>
  <si>
    <t>DecVAE conv geometry; labels used without realignment</t>
  </si>
  <si>
    <t>S-07</t>
  </si>
  <si>
    <t>Decomposition component fed to baselines</t>
  </si>
  <si>
    <t>0 (original signal)</t>
  </si>
  <si>
    <t>0</t>
  </si>
  <si>
    <t>Trained baselines</t>
  </si>
  <si>
    <t>baseline_component</t>
  </si>
  <si>
    <t>S-08</t>
  </si>
  <si>
    <t>Latent</t>
  </si>
  <si>
    <t>Width per branch / subspace</t>
  </si>
  <si>
    <t>48</t>
  </si>
  <si>
    <t>64</t>
  </si>
  <si>
    <t>as source dataset</t>
  </si>
  <si>
    <t>Each subspace or view = z_dim (DecVAE Z)</t>
  </si>
  <si>
    <t>S-09</t>
  </si>
  <si>
    <t>Batch</t>
  </si>
  <si>
    <t>Batch size</t>
  </si>
  <si>
    <t>16 utterances</t>
  </si>
  <si>
    <t>8 utterances</t>
  </si>
  <si>
    <t>8 utterances (fine-tuning)</t>
  </si>
  <si>
    <t>SI Table 3 (about 1 min of audio). Same data exposure and update count for every method.</t>
  </si>
  <si>
    <t>S-10</t>
  </si>
  <si>
    <t>Budget</t>
  </si>
  <si>
    <t>Max epochs (pre-training)</t>
  </si>
  <si>
    <t>150</t>
  </si>
  <si>
    <t>25 (fine-tuning)</t>
  </si>
  <si>
    <t>Methods p.22 L536</t>
  </si>
  <si>
    <t>S-11</t>
  </si>
  <si>
    <t>Early stopping</t>
  </si>
  <si>
    <t>own validation loss; warmup 100 epochs (28000 steps); patience 5; delta &gt; 0.2%</t>
  </si>
  <si>
    <t>same (41568 steps)</t>
  </si>
  <si>
    <t>patience 5; warmup 50000 steps (check units)</t>
  </si>
  <si>
    <t>Methods p.22 L534-536. Define warmup in epochs so it scales with batch.</t>
  </si>
  <si>
    <t>S-12</t>
  </si>
  <si>
    <t>Checkpoint evaluated</t>
  </si>
  <si>
    <t>epoch_range_to_evaluate = [-1]</t>
  </si>
  <si>
    <t>Confirm last vs min-val-loss checkpoint; must be identical for all methods.</t>
  </si>
  <si>
    <t>S-13</t>
  </si>
  <si>
    <t>Optimizer</t>
  </si>
  <si>
    <t>Optimizer, LR, betas, weight decay</t>
  </si>
  <si>
    <t>per reference</t>
  </si>
  <si>
    <t>per reference x 0.1 LR</t>
  </si>
  <si>
    <t>Baselines</t>
  </si>
  <si>
    <t>Function class and optimization dynamics per method</t>
  </si>
  <si>
    <t>S-14</t>
  </si>
  <si>
    <t>Schedule</t>
  </si>
  <si>
    <t>Step-based reference schedules</t>
  </si>
  <si>
    <t>rescaled as fractions of the budget</t>
  </si>
  <si>
    <t>e.g. TCL MLR stage (10%) and decay point (5/7)</t>
  </si>
  <si>
    <t>S-15</t>
  </si>
  <si>
    <t>LR warmup</t>
  </si>
  <si>
    <t>none</t>
  </si>
  <si>
    <t>No reference warms up; DecVAE's 20 epochs are its own</t>
  </si>
  <si>
    <t>S-16</t>
  </si>
  <si>
    <t>Gradient clipping</t>
  </si>
  <si>
    <t>No reference clips; DecVAE's 2.0 is its own</t>
  </si>
  <si>
    <t>S-17</t>
  </si>
  <si>
    <t>Reproducibility</t>
  </si>
  <si>
    <t>Seed</t>
  </si>
  <si>
    <t>configs</t>
  </si>
  <si>
    <t>S-18</t>
  </si>
  <si>
    <t>Hardware</t>
  </si>
  <si>
    <t>single NVIDIA RTX 6000 Ada</t>
  </si>
  <si>
    <t>Methods p.22 L530; record baselines' hardware too</t>
  </si>
  <si>
    <t>Group</t>
  </si>
  <si>
    <t>Parameter</t>
  </si>
  <si>
    <t>Config key</t>
  </si>
  <si>
    <t>Reference value</t>
  </si>
  <si>
    <t>Reference source</t>
  </si>
  <si>
    <t>SimVowels (agreed)</t>
  </si>
  <si>
    <t>TIMIT (agreed)</t>
  </si>
  <si>
    <t>SimVowels (config now)</t>
  </si>
  <si>
    <t>TIMIT (config now)</t>
  </si>
  <si>
    <t>Deviation from reference</t>
  </si>
  <si>
    <t>Rationale / notes</t>
  </si>
  <si>
    <t>DV-01</t>
  </si>
  <si>
    <t>Input</t>
  </si>
  <si>
    <t>input_type, n_mels, mel_hops, mel_norm</t>
  </si>
  <si>
    <t>(proposed method)</t>
  </si>
  <si>
    <t>Methods p.21 L546-548; SI Table 3</t>
  </si>
  <si>
    <t>mel 80 bands, mel_hops 4 (80 x 5 = 400 per 25 ms frame), global norm</t>
  </si>
  <si>
    <t>n/a</t>
  </si>
  <si>
    <t>Mel outperforms waveform for all models (SI Tables 6-8).</t>
  </si>
  <si>
    <t>DV-02</t>
  </si>
  <si>
    <t>Architecture</t>
  </si>
  <si>
    <t>Latent dims (Z per subspace / S)</t>
  </si>
  <si>
    <t>z_latent_dim, s_latent_dim</t>
  </si>
  <si>
    <t>SI Table 3</t>
  </si>
  <si>
    <t>48 / 24</t>
  </si>
  <si>
    <t>64 / 32</t>
  </si>
  <si>
    <t>Z subspace dim sets the baselines' per-branch width.</t>
  </si>
  <si>
    <t>DV-03</t>
  </si>
  <si>
    <t>Components (NoC)</t>
  </si>
  <si>
    <t>config name</t>
  </si>
  <si>
    <t>DV-04</t>
  </si>
  <si>
    <t>adam_beta1/2, adam_epsilon</t>
  </si>
  <si>
    <t>Methods p.22 L534; config</t>
  </si>
  <si>
    <t>Adam (0.5, 0.999), eps 1e-6</t>
  </si>
  <si>
    <t>DV-05</t>
  </si>
  <si>
    <t>Weight decay</t>
  </si>
  <si>
    <t>weight_decay</t>
  </si>
  <si>
    <t>config</t>
  </si>
  <si>
    <t>DV-06</t>
  </si>
  <si>
    <t>Learning rate (Z / S)</t>
  </si>
  <si>
    <t>learning_rate</t>
  </si>
  <si>
    <t>Methods p.22 L531-533</t>
  </si>
  <si>
    <t>8e-5 / 1e-4</t>
  </si>
  <si>
    <t>5e-5 / 1e-4</t>
  </si>
  <si>
    <t>Paper states Z peak 8e-5; the SimVowels config holds 5e-5. Confirm which the reported SimVowels runs used.</t>
  </si>
  <si>
    <t>DV-07</t>
  </si>
  <si>
    <t>LR schedule (Z / S)</t>
  </si>
  <si>
    <t>lr_scheduler_type</t>
  </si>
  <si>
    <t>constant w/ warmup / linear</t>
  </si>
  <si>
    <t>DV-08</t>
  </si>
  <si>
    <t>Warmup</t>
  </si>
  <si>
    <t>num_warmup_steps</t>
  </si>
  <si>
    <t>Methods p.22 L533</t>
  </si>
  <si>
    <t>DV-09</t>
  </si>
  <si>
    <t>clip_grad_value</t>
  </si>
  <si>
    <t>DV-10</t>
  </si>
  <si>
    <t>Batch size (utterances)</t>
  </si>
  <si>
    <t>per_device_train_batch_size</t>
  </si>
  <si>
    <t>Paper and SI state 16 / 8 (about 1 min of audio). Local configs hold 4 / 1: confirm the reported runs used 16 / 8.</t>
  </si>
  <si>
    <t>DV-11</t>
  </si>
  <si>
    <t>Objective</t>
  </si>
  <si>
    <t>SSL frames used in loss</t>
  </si>
  <si>
    <t>mask_time_prob / ssl frames %</t>
  </si>
  <si>
    <t>50%</t>
  </si>
  <si>
    <t>Reference point for TF-C's contrastive frame fraction.</t>
  </si>
  <si>
    <t>DV-12</t>
  </si>
  <si>
    <t>Max epochs</t>
  </si>
  <si>
    <t>num_train_epochs</t>
  </si>
  <si>
    <t>Shared budget.</t>
  </si>
  <si>
    <t>DV-13</t>
  </si>
  <si>
    <t>early_stop_*</t>
  </si>
  <si>
    <t>Methods p.22 L534-536</t>
  </si>
  <si>
    <t>28000 / 5 / 0.2</t>
  </si>
  <si>
    <t>41568 / 5 / 0.2</t>
  </si>
  <si>
    <t>Shared early-stopping rule.</t>
  </si>
  <si>
    <t>CO-01</t>
  </si>
  <si>
    <t>cost_input_type, cost_pool_mel_bins, baseline_component</t>
  </si>
  <si>
    <t>Raw multivariate series</t>
  </si>
  <si>
    <t>Woo et al. 2022; salesforce/CoST</t>
  </si>
  <si>
    <t>mel, unpooled, 0</t>
  </si>
  <si>
    <t>Yes</t>
  </si>
  <si>
    <t>Front-end held constant: DecVAE's input.</t>
  </si>
  <si>
    <t>CO-02</t>
  </si>
  <si>
    <t>Backbone hidden / depth</t>
  </si>
  <si>
    <t>cost_hidden_dims, cost_depth</t>
  </si>
  <si>
    <t>64 / 10</t>
  </si>
  <si>
    <t>cost.py L206-208</t>
  </si>
  <si>
    <t>No</t>
  </si>
  <si>
    <t>CO-03</t>
  </si>
  <si>
    <t>Trend kernels</t>
  </si>
  <si>
    <t>cost_kernels</t>
  </si>
  <si>
    <t>[1,2,4,8,16,32,64,128]</t>
  </si>
  <si>
    <t>train.py L43</t>
  </si>
  <si>
    <t>CO-04</t>
  </si>
  <si>
    <t>Output dims (trend + season)</t>
  </si>
  <si>
    <t>cost_output_dims</t>
  </si>
  <si>
    <t>train.py L34 (--repr-dims)</t>
  </si>
  <si>
    <t>Each subspace = z_dim (48 / 64), the latent-dimension rule.</t>
  </si>
  <si>
    <t>CO-05</t>
  </si>
  <si>
    <t>Seasonal loss weight alpha</t>
  </si>
  <si>
    <t>cost_alpha</t>
  </si>
  <si>
    <t>train.py L44</t>
  </si>
  <si>
    <t>CO-06</t>
  </si>
  <si>
    <t>MoCo queue size K</t>
  </si>
  <si>
    <t>cost_queue_size</t>
  </si>
  <si>
    <t>cost.py L240</t>
  </si>
  <si>
    <t>CO-07</t>
  </si>
  <si>
    <t>Key-encoder momentum m</t>
  </si>
  <si>
    <t>cost_momentum</t>
  </si>
  <si>
    <t>cost.py L65</t>
  </si>
  <si>
    <t>CO-08</t>
  </si>
  <si>
    <t>Temperature T</t>
  </si>
  <si>
    <t>cost_temperature</t>
  </si>
  <si>
    <t>cost.py L66</t>
  </si>
  <si>
    <t>CO-09</t>
  </si>
  <si>
    <t>Augmentation</t>
  </si>
  <si>
    <t>Augmentation sigma / p</t>
  </si>
  <si>
    <t>cost_augmentation_sigma, _prob</t>
  </si>
  <si>
    <t>0.5 / 0.5</t>
  </si>
  <si>
    <t>cost.py L21-22</t>
  </si>
  <si>
    <t>CO-10</t>
  </si>
  <si>
    <t>Training</t>
  </si>
  <si>
    <t>Timestamp mask</t>
  </si>
  <si>
    <t>cost_mask_mode; encoder calls</t>
  </si>
  <si>
    <t>binomial in training</t>
  </si>
  <si>
    <t>cost.py</t>
  </si>
  <si>
    <t>binomial (train); mask=None in encoder calls</t>
  </si>
  <si>
    <t>CO-11</t>
  </si>
  <si>
    <t>Padded frames</t>
  </si>
  <si>
    <t>encode()</t>
  </si>
  <si>
    <t>n/a (fixed-length series)</t>
  </si>
  <si>
    <t>removed before pooling, not zeroed</t>
  </si>
  <si>
    <t>TIMIT / IEMOCAP are variable length.</t>
  </si>
  <si>
    <t>CO-12</t>
  </si>
  <si>
    <t>cost_optimizer, cost_sgd_momentum</t>
  </si>
  <si>
    <t>SGD, momentum 0.9</t>
  </si>
  <si>
    <t>cost.py L271-274</t>
  </si>
  <si>
    <t>SGD, 0.9</t>
  </si>
  <si>
    <t>CO-13</t>
  </si>
  <si>
    <t>Learning rate</t>
  </si>
  <si>
    <t>train.py L33</t>
  </si>
  <si>
    <t>CO-14</t>
  </si>
  <si>
    <t>cost.py L274</t>
  </si>
  <si>
    <t>CO-15</t>
  </si>
  <si>
    <t>LR schedule</t>
  </si>
  <si>
    <t>cosine to 0 over the run</t>
  </si>
  <si>
    <t>cost.py L443-447</t>
  </si>
  <si>
    <t>cosine</t>
  </si>
  <si>
    <t>Horizon is our budget instead of the reference's 200 / 600 iterations.</t>
  </si>
  <si>
    <t>CO-16</t>
  </si>
  <si>
    <t>CO-17</t>
  </si>
  <si>
    <t>cost.py (no clipping)</t>
  </si>
  <si>
    <t>None</t>
  </si>
  <si>
    <t>No reference clips; clipping is part of the per-method optimizer.</t>
  </si>
  <si>
    <t>CO-18</t>
  </si>
  <si>
    <t>8 series</t>
  </si>
  <si>
    <t>train.py L32</t>
  </si>
  <si>
    <t>Shared batch (DecVAE).</t>
  </si>
  <si>
    <t>CO-19</t>
  </si>
  <si>
    <t>Training length</t>
  </si>
  <si>
    <t>200 / 600 iterations by data size</t>
  </si>
  <si>
    <t>cost.py L253-254</t>
  </si>
  <si>
    <t>CO-20</t>
  </si>
  <si>
    <t>Early-stopping warmup</t>
  </si>
  <si>
    <t>early_stop_warmup_steps</t>
  </si>
  <si>
    <t>100 epochs at 16 / 8 utterances, as DecVAE.</t>
  </si>
  <si>
    <t>TF-01</t>
  </si>
  <si>
    <t>tfc_input_type</t>
  </si>
  <si>
    <t>Raw univariate series, length 178 (SleepEEG)</t>
  </si>
  <si>
    <t>SleepEEG_Configs.py L18</t>
  </si>
  <si>
    <t>waveform</t>
  </si>
  <si>
    <t>Documented exception to the mel front-end: TF-C's frequency view is the FFT of a raw time series.</t>
  </si>
  <si>
    <t>TF-02</t>
  </si>
  <si>
    <t>Sequence handling</t>
  </si>
  <si>
    <t>TFC.forward</t>
  </si>
  <si>
    <t>one series per sample</t>
  </si>
  <si>
    <t>model.py</t>
  </si>
  <si>
    <t>each frame one sample (sequence length 1)</t>
  </si>
  <si>
    <t>No temporal attention in the reference; frame grid kept.</t>
  </si>
  <si>
    <t>TF-03</t>
  </si>
  <si>
    <t>Transformer layers / heads / FF</t>
  </si>
  <si>
    <t>tfc_transformer_layers, _attention_heads, _feedforward_multiplier</t>
  </si>
  <si>
    <t>2 / 2 / 2 x d</t>
  </si>
  <si>
    <t>model.py L10-11</t>
  </si>
  <si>
    <t>2 / 2 / 2</t>
  </si>
  <si>
    <t>TF-04</t>
  </si>
  <si>
    <t>Projector hidden</t>
  </si>
  <si>
    <t>tfc_projector_hidden</t>
  </si>
  <si>
    <t>model.py L14</t>
  </si>
  <si>
    <t>TF-05</t>
  </si>
  <si>
    <t>Projector output (each view)</t>
  </si>
  <si>
    <t>tfc_projector_dim</t>
  </si>
  <si>
    <t>model.py L17</t>
  </si>
  <si>
    <t>Each view = z_dim. TIMIT config holds 48.</t>
  </si>
  <si>
    <t>TF-06</t>
  </si>
  <si>
    <t>NT-Xent temperature</t>
  </si>
  <si>
    <t>tfc_temperature</t>
  </si>
  <si>
    <t>SleepEEG_Configs.py L52</t>
  </si>
  <si>
    <t>TF-07</t>
  </si>
  <si>
    <t>Cosine similarity</t>
  </si>
  <si>
    <t>tfc_use_cosine_similarity</t>
  </si>
  <si>
    <t>True</t>
  </si>
  <si>
    <t>SleepEEG_Configs.py L53</t>
  </si>
  <si>
    <t>TF-08</t>
  </si>
  <si>
    <t>Loss weight lam</t>
  </si>
  <si>
    <t>tfc_lam</t>
  </si>
  <si>
    <t>trainer.py L135-136</t>
  </si>
  <si>
    <t>TF-09</t>
  </si>
  <si>
    <t>Jitter ratio</t>
  </si>
  <si>
    <t>tfc_jitter_ratio</t>
  </si>
  <si>
    <t>SleepEEG_Configs.py L46</t>
  </si>
  <si>
    <t>TF-10</t>
  </si>
  <si>
    <t>Frequency perturbation ratio</t>
  </si>
  <si>
    <t>tfc_frequency_pertub_ratio</t>
  </si>
  <si>
    <t>augmentations.py L27-28</t>
  </si>
  <si>
    <t>TF-11</t>
  </si>
  <si>
    <t>Frames per utterance in the contrastive loss</t>
  </si>
  <si>
    <t>tfc_frames_per_batch_entry</t>
  </si>
  <si>
    <t>batch of 128 samples</t>
  </si>
  <si>
    <t>SleepEEG_Configs.py L35</t>
  </si>
  <si>
    <t>50% of valid frames</t>
  </si>
  <si>
    <t>Matches DecVAE's 50% of frames in the SSL loss. TIMIT: 178 is 50% of the longest utterance (357 frames), not of each utterance; a per-utterance fraction implements the rule exactly.</t>
  </si>
  <si>
    <t>TF-12</t>
  </si>
  <si>
    <t>tfc_optimizer, adam_beta1/2</t>
  </si>
  <si>
    <t>Adam (0.9, 0.99)</t>
  </si>
  <si>
    <t>SleepEEG_Configs.py L27-29</t>
  </si>
  <si>
    <t>TF-13</t>
  </si>
  <si>
    <t>SleepEEG_Configs.py L30</t>
  </si>
  <si>
    <t>TF-14</t>
  </si>
  <si>
    <t>main.py L112</t>
  </si>
  <si>
    <t>TF-15</t>
  </si>
  <si>
    <t>constant (ReduceLROnPlateau only in fine-tuning)</t>
  </si>
  <si>
    <t>trainer.py L23, L51</t>
  </si>
  <si>
    <t>constant</t>
  </si>
  <si>
    <t>TF-16</t>
  </si>
  <si>
    <t>trainer.py</t>
  </si>
  <si>
    <t>TF-17</t>
  </si>
  <si>
    <t>trainer.py (no clipping)</t>
  </si>
  <si>
    <t>TF-18</t>
  </si>
  <si>
    <t>128 samples</t>
  </si>
  <si>
    <t>TF-19</t>
  </si>
  <si>
    <t>40 epochs</t>
  </si>
  <si>
    <t>SleepEEG_Configs.py L23</t>
  </si>
  <si>
    <t>TF-20</t>
  </si>
  <si>
    <t>100 epochs, as DecVAE.</t>
  </si>
  <si>
    <t>TC-01</t>
  </si>
  <si>
    <t>tcl_input_type, tcl_pool_mel_bins</t>
  </si>
  <si>
    <t>Multivariate observations</t>
  </si>
  <si>
    <t>Hyvarinen &amp; Morioka 2016; hmorioka/TCL</t>
  </si>
  <si>
    <t>mel, unpooled</t>
  </si>
  <si>
    <t>Front-end held constant.</t>
  </si>
  <si>
    <t>TC-02</t>
  </si>
  <si>
    <t>PCA whitening</t>
  </si>
  <si>
    <t>tcl_pca_components</t>
  </si>
  <si>
    <t>PCA whitening before the MLP</t>
  </si>
  <si>
    <t>tcl_training.py</t>
  </si>
  <si>
    <t>null (all)</t>
  </si>
  <si>
    <t>TC-03</t>
  </si>
  <si>
    <t>Hidden nodes</t>
  </si>
  <si>
    <t>tcl_hidden_nodes</t>
  </si>
  <si>
    <t>[40,40,40,40,20]</t>
  </si>
  <si>
    <t>tcl_training.py L31</t>
  </si>
  <si>
    <t>[40,40,40,40,48]</t>
  </si>
  <si>
    <t>[40,40,40,40,64]</t>
  </si>
  <si>
    <t>Last layer = representation = z_dim.</t>
  </si>
  <si>
    <t>TC-04</t>
  </si>
  <si>
    <t>Maxout k / feature nonlinearity</t>
  </si>
  <si>
    <t>tcl_maxout_k, tcl_feature_nonlinearity</t>
  </si>
  <si>
    <t>2 / abs</t>
  </si>
  <si>
    <t>tcl.py inference()</t>
  </si>
  <si>
    <t>TC-05</t>
  </si>
  <si>
    <t>Segments (classes)</t>
  </si>
  <si>
    <t>tcl_segment_duration_in_seconds</t>
  </si>
  <si>
    <t>256 segments</t>
  </si>
  <si>
    <t>tcl_training.py L25</t>
  </si>
  <si>
    <t>0.02 s (1 frame, 199 classes)</t>
  </si>
  <si>
    <t>0.02 s (1 frame, 357 classes)</t>
  </si>
  <si>
    <t>0.025 s</t>
  </si>
  <si>
    <t>Fixed duration set by the 20 ms hop, not by SimVowels vowel duration. 0.025 / 0.02 rounds to 1 frame; set 0.02 for clarity.</t>
  </si>
  <si>
    <t>TC-06</t>
  </si>
  <si>
    <t>Classifier-only (MLR) stage</t>
  </si>
  <si>
    <t>tcl_mlr_init_steps</t>
  </si>
  <si>
    <t>separate 7e4-step stage before the 7e5-step main run</t>
  </si>
  <si>
    <t>tcl_training.py L47-48, L83-96</t>
  </si>
  <si>
    <t>10% of main-stage steps, run before it</t>
  </si>
  <si>
    <t>70000 exceeds the whole budget (~42k / ~62k steps), so the feature extractor would never train. Express as a fraction.</t>
  </si>
  <si>
    <t>TC-07</t>
  </si>
  <si>
    <t>LR decay</t>
  </si>
  <si>
    <t>tcl_decay_steps, tcl_decay_factor</t>
  </si>
  <si>
    <t>x0.1 staircase at 5e5 of 7e5 steps</t>
  </si>
  <si>
    <t>tcl_training.py L40-41; tcl.py L209-213</t>
  </si>
  <si>
    <t>x0.1 at 5/7 of main stage</t>
  </si>
  <si>
    <t>500000 / 0.1</t>
  </si>
  <si>
    <t>Rescaled to the budget as a fraction.</t>
  </si>
  <si>
    <t>TC-08</t>
  </si>
  <si>
    <t>Weight averaging for evaluation</t>
  </si>
  <si>
    <t>(not in port)</t>
  </si>
  <si>
    <t>EMA 0.999; evaluation restores averaged weights</t>
  </si>
  <si>
    <t>tcl_training.py L43; tcl_evaluation.py L79-81</t>
  </si>
  <si>
    <t>EMA 0.999, evaluate averaged weights</t>
  </si>
  <si>
    <t>not implemented</t>
  </si>
  <si>
    <t>TC-09</t>
  </si>
  <si>
    <t>tcl_optimizer, tcl_sgd_momentum</t>
  </si>
  <si>
    <t>tcl_training.py L37-38</t>
  </si>
  <si>
    <t>TC-10</t>
  </si>
  <si>
    <t>tcl_training.py L37</t>
  </si>
  <si>
    <t>TC-11</t>
  </si>
  <si>
    <t>Weight decay (weights only)</t>
  </si>
  <si>
    <t>tcl.py inference(wd=1e-4)</t>
  </si>
  <si>
    <t>TC-12</t>
  </si>
  <si>
    <t>tcl.py</t>
  </si>
  <si>
    <t>TC-13</t>
  </si>
  <si>
    <t>tcl.py (no clipping)</t>
  </si>
  <si>
    <t>TC-14</t>
  </si>
  <si>
    <t>512 data points</t>
  </si>
  <si>
    <t>tcl_training.py L42</t>
  </si>
  <si>
    <t>Shared batch (about 3,200 / 1,240 frames).</t>
  </si>
  <si>
    <t>TC-15</t>
  </si>
  <si>
    <t>7e5 steps</t>
  </si>
  <si>
    <t>tcl_training.py L39</t>
  </si>
  <si>
    <t>TC-16</t>
  </si>
  <si>
    <t>CP-01</t>
  </si>
  <si>
    <t>cpc_input_type, cpc_pool_mel_bins</t>
  </si>
  <si>
    <t>raw 16 kHz waveform</t>
  </si>
  <si>
    <t>van den Oord et al. 2018; Spijkervet/contrastive-predictive-coding</t>
  </si>
  <si>
    <t>Front-end held constant. Precedent: CPC_audio encoder_type mfcc / lfb.</t>
  </si>
  <si>
    <t>CP-02</t>
  </si>
  <si>
    <t>g_enc geometry</t>
  </si>
  <si>
    <t>cpc_conv_kernel, cpc_conv_stride</t>
  </si>
  <si>
    <t>kernels [10,8,4,4,4], strides [5,4,2,2,2]</t>
  </si>
  <si>
    <t>model.py (audio_model)</t>
  </si>
  <si>
    <t>[10,3,3,3,3,2,2] / [5,2,2,2,2,2,2]</t>
  </si>
  <si>
    <t>Reference stack is invalid on a 400-long patch; the minimal fix leaves inputs 385-399 (mel bands 77-79) outside the receptive field.</t>
  </si>
  <si>
    <t>CP-03</t>
  </si>
  <si>
    <t>g_enc hidden channels</t>
  </si>
  <si>
    <t>cpc_encoder_hidden</t>
  </si>
  <si>
    <t>model.py genc_hidden</t>
  </si>
  <si>
    <t>Reference and DecVAE both use 512.</t>
  </si>
  <si>
    <t>CP-04</t>
  </si>
  <si>
    <t>z width</t>
  </si>
  <si>
    <t>cpc_encoder_dim</t>
  </si>
  <si>
    <t>z_dim.</t>
  </si>
  <si>
    <t>CP-05</t>
  </si>
  <si>
    <t>Encoder normalization</t>
  </si>
  <si>
    <t>cpc_encoder_norm</t>
  </si>
  <si>
    <t>none (Spijkervet); ChannelNorm (CPC_audio default)</t>
  </si>
  <si>
    <t>encoder.py; CPC_audio cpc_default_config.py</t>
  </si>
  <si>
    <t>layer</t>
  </si>
  <si>
    <t>Follows CPC_audio; Spijkervet has no normalization.</t>
  </si>
  <si>
    <t>CP-06</t>
  </si>
  <si>
    <t>Activation</t>
  </si>
  <si>
    <t>(fixed)</t>
  </si>
  <si>
    <t>ReLU after every layer incl. last</t>
  </si>
  <si>
    <t>encoder.py</t>
  </si>
  <si>
    <t>ReLU</t>
  </si>
  <si>
    <t>z is post-ReLU: ~50% zeros per frame is expected.</t>
  </si>
  <si>
    <t>CP-07</t>
  </si>
  <si>
    <t>Autoregressor</t>
  </si>
  <si>
    <t>cpc_ar_mode, cpc_ar_dim, cpc_ar_layers</t>
  </si>
  <si>
    <t>GRU, 1 layer, 256</t>
  </si>
  <si>
    <t>autoregressor.py; model.py gar_hidden</t>
  </si>
  <si>
    <t>GRU, 1, 48</t>
  </si>
  <si>
    <t>GRU, 1, 64</t>
  </si>
  <si>
    <t>Width = z_dim.</t>
  </si>
  <si>
    <t>CP-08</t>
  </si>
  <si>
    <t>Predictor</t>
  </si>
  <si>
    <t>Linear W_k per step, no bias</t>
  </si>
  <si>
    <t>infonce.py</t>
  </si>
  <si>
    <t>Linear W_k, no bias</t>
  </si>
  <si>
    <t>CP-09</t>
  </si>
  <si>
    <t>Prediction steps k</t>
  </si>
  <si>
    <t>cpc_prediction_steps</t>
  </si>
  <si>
    <t>12 at 10 ms (120 ms)</t>
  </si>
  <si>
    <t>cpc/defaults.yaml</t>
  </si>
  <si>
    <t>Horizon matched in time.</t>
  </si>
  <si>
    <t>CP-10</t>
  </si>
  <si>
    <t>Negatives per positive</t>
  </si>
  <si>
    <t>cpc_negative_samples</t>
  </si>
  <si>
    <t>CP-11</t>
  </si>
  <si>
    <t>Negative sampling</t>
  </si>
  <si>
    <t>cpc_negative_sampling</t>
  </si>
  <si>
    <t>permutation over the batch (crosses utterances)</t>
  </si>
  <si>
    <t>infonce.py get_neg_z</t>
  </si>
  <si>
    <t>same_sequence</t>
  </si>
  <si>
    <t>Cross-utterance negatives make speaker identity a free discriminator.</t>
  </si>
  <si>
    <t>CP-12</t>
  </si>
  <si>
    <t>cpc_optimizer, adam_beta1/2</t>
  </si>
  <si>
    <t>Adam (0.9, 0.999)</t>
  </si>
  <si>
    <t>model.py load_model</t>
  </si>
  <si>
    <t>CP-13</t>
  </si>
  <si>
    <t>CP-14</t>
  </si>
  <si>
    <t>CP-15</t>
  </si>
  <si>
    <t>LR schedule / warmup</t>
  </si>
  <si>
    <t>lr_scheduler_type, num_warmup_steps</t>
  </si>
  <si>
    <t>constant, none</t>
  </si>
  <si>
    <t>main.py</t>
  </si>
  <si>
    <t>constant, 0</t>
  </si>
  <si>
    <t>CP-16</t>
  </si>
  <si>
    <t>none (commented out)</t>
  </si>
  <si>
    <t>CP-17</t>
  </si>
  <si>
    <t>8 windows of 20480 samples</t>
  </si>
  <si>
    <t>general/defaults.yaml</t>
  </si>
  <si>
    <t>Shared batch.</t>
  </si>
  <si>
    <t>CP-18</t>
  </si>
  <si>
    <t>300 epochs</t>
  </si>
  <si>
    <t>CP-19</t>
  </si>
  <si>
    <t>FH-01</t>
  </si>
  <si>
    <t>fhvae_input_type, fhvae_pool_mel_bins</t>
  </si>
  <si>
    <t>80-bin fbank at 10 ms (fbank path); TIMIT run uses spectrogram</t>
  </si>
  <si>
    <t>conf/fbank.conf; egs/timit/run_fhvae.sh</t>
  </si>
  <si>
    <t>Front-end held constant; collator already applies global norm.</t>
  </si>
  <si>
    <t>FH-02</t>
  </si>
  <si>
    <t>Segment length</t>
  </si>
  <si>
    <t>fhvae_seg_len</t>
  </si>
  <si>
    <t>20 frames at 10 ms (200 ms)</t>
  </si>
  <si>
    <t>egs/timit/local/fbank_data_prep.sh L23-25</t>
  </si>
  <si>
    <t>Matched in time.</t>
  </si>
  <si>
    <t>FH-03</t>
  </si>
  <si>
    <t>Segment sampling</t>
  </si>
  <si>
    <t>random starts, n = (L - seg_len)//seg_len + 1 per utterance</t>
  </si>
  <si>
    <t>segment.py make_seg_list</t>
  </si>
  <si>
    <t>random starts (train); non-overlapping (eval)</t>
  </si>
  <si>
    <t>FH-04</t>
  </si>
  <si>
    <t>Encoders / decoder</t>
  </si>
  <si>
    <t>fhvae_hidden</t>
  </si>
  <si>
    <t>LSTM 1 x 256; decoder non-autoregressive</t>
  </si>
  <si>
    <t>conf/model/fhvae/lstm_1L_256_lat_32_32.cfg</t>
  </si>
  <si>
    <t>FH-05</t>
  </si>
  <si>
    <t>Segment latent d_seg</t>
  </si>
  <si>
    <t>fhvae_d_seg</t>
  </si>
  <si>
    <t>lstm_1L_256_lat_32_32.cfg</t>
  </si>
  <si>
    <t>FH-06</t>
  </si>
  <si>
    <t>Sequence latent d_seq</t>
  </si>
  <si>
    <t>fhvae_d_seq</t>
  </si>
  <si>
    <t>z_dim. DecVAE's S latent is 24 / 32: decide whether d_seq follows Z or S.</t>
  </si>
  <si>
    <t>FH-07</t>
  </si>
  <si>
    <t>Sequence prior std sigma</t>
  </si>
  <si>
    <t>fhvae_seq_std</t>
  </si>
  <si>
    <t>base_fhvae.py (latent1_std)</t>
  </si>
  <si>
    <t>FH-08</t>
  </si>
  <si>
    <t>Discriminative weight alpha</t>
  </si>
  <si>
    <t>fhvae_alpha</t>
  </si>
  <si>
    <t>..._ad10.cfg (used by run_fhvae.sh)</t>
  </si>
  <si>
    <t>FH-09</t>
  </si>
  <si>
    <t>mu table</t>
  </si>
  <si>
    <t>one row per training utterance, N(0, I) init, dense Adam</t>
  </si>
  <si>
    <t>base_fhvae.py L292-301</t>
  </si>
  <si>
    <t>FH-10</t>
  </si>
  <si>
    <t>fhvae_optimizer, adam_beta1/2</t>
  </si>
  <si>
    <t>Adam (0.95, 0.999)</t>
  </si>
  <si>
    <t>..._ad10.cfg [opt_opts]</t>
  </si>
  <si>
    <t>FH-11</t>
  </si>
  <si>
    <t>..._ad10.cfg</t>
  </si>
  <si>
    <t>FH-12</t>
  </si>
  <si>
    <t>decay 0.8 defined but never run</t>
  </si>
  <si>
    <t>base_fhvae.py L286; runner never calls decay_op</t>
  </si>
  <si>
    <t>FH-13</t>
  </si>
  <si>
    <t>L2 regularization</t>
  </si>
  <si>
    <t>1e-4, inert (no FC hidden layers)</t>
  </si>
  <si>
    <t>rec_fhvae.py; model cfg</t>
  </si>
  <si>
    <t>FH-14</t>
  </si>
  <si>
    <t>none (max_grad_norm None)</t>
  </si>
  <si>
    <t>base_fhvae.py</t>
  </si>
  <si>
    <t>FH-15</t>
  </si>
  <si>
    <t>Shared batch (about 300 / 120 segments).</t>
  </si>
  <si>
    <t>FH-16</t>
  </si>
  <si>
    <t>Training length / selection</t>
  </si>
  <si>
    <t>500 epochs x 2000 steps; patience 50 on dev lb</t>
  </si>
  <si>
    <t>..._ad10.cfg; fhvae_runner.py L175-178</t>
  </si>
  <si>
    <t>Shared budget; monitored quantity as the reference.</t>
  </si>
  <si>
    <t>FH-17</t>
  </si>
  <si>
    <t>Value</t>
  </si>
  <si>
    <t>Config now</t>
  </si>
  <si>
    <t>Rule / rationale</t>
  </si>
  <si>
    <t>F-01</t>
  </si>
  <si>
    <t>Transfer sources</t>
  </si>
  <si>
    <t>transfer_from</t>
  </si>
  <si>
    <t>SimVowels and TIMIT checkpoints</t>
  </si>
  <si>
    <t>timit / sim_vowels</t>
  </si>
  <si>
    <t>Both transfers reported for every method.</t>
  </si>
  <si>
    <t>F-02</t>
  </si>
  <si>
    <t>Epochs</t>
  </si>
  <si>
    <t>Shared.</t>
  </si>
  <si>
    <t>F-03</t>
  </si>
  <si>
    <t>F-04</t>
  </si>
  <si>
    <t>same rule for all methods</t>
  </si>
  <si>
    <t>50000 steps exceeds 25 epochs on most IEMOCAP splits; express in epochs.</t>
  </si>
  <si>
    <t>F-05</t>
  </si>
  <si>
    <t>No reference clips.</t>
  </si>
  <si>
    <t>F-06</t>
  </si>
  <si>
    <t>5e-6 / 5e-6</t>
  </si>
  <si>
    <t>F-07</t>
  </si>
  <si>
    <t>Latent dims when transferring from TIMIT</t>
  </si>
  <si>
    <t>Fine-tune config holds 48 / 24 with transfer_from = timit.</t>
  </si>
  <si>
    <t>F-08</t>
  </si>
  <si>
    <t>0.1 x pre-training LR.</t>
  </si>
  <si>
    <t>F-09</t>
  </si>
  <si>
    <t>Re-initialized parts</t>
  </si>
  <si>
    <t>cost_transfer_reinit_fourier</t>
  </si>
  <si>
    <t>Fourier layer (sequence-length dependent)</t>
  </si>
  <si>
    <t>F-10</t>
  </si>
  <si>
    <t>F-11</t>
  </si>
  <si>
    <t>F-12</t>
  </si>
  <si>
    <t>tcl_transfer_reinit_classifier</t>
  </si>
  <si>
    <t>segment classifier (class count changes)</t>
  </si>
  <si>
    <t>F-13</t>
  </si>
  <si>
    <t>F-14</t>
  </si>
  <si>
    <t>cpc_transfer_reinit_predictors</t>
  </si>
  <si>
    <t>none (nothing sized by frame count)</t>
  </si>
  <si>
    <t>False</t>
  </si>
  <si>
    <t>F-15</t>
  </si>
  <si>
    <t>F-16</t>
  </si>
  <si>
    <t>(model)</t>
  </si>
  <si>
    <t>rebuilt for IEMOCAP training utterances</t>
  </si>
  <si>
    <t>The table is transductive: one row per training utterance.</t>
  </si>
  <si>
    <t>F-17</t>
  </si>
  <si>
    <t>Config files</t>
  </si>
  <si>
    <t>config_finetune_fhvae_iemocap_*</t>
  </si>
  <si>
    <t>from SimVowels and from TIMIT</t>
  </si>
  <si>
    <t>missing</t>
  </si>
  <si>
    <t>Branch</t>
  </si>
  <si>
    <t>E-01</t>
  </si>
  <si>
    <t>Z</t>
  </si>
  <si>
    <t>Disentanglement metrics</t>
  </si>
  <si>
    <t>measure_disentanglement, sup_eval</t>
  </si>
  <si>
    <t>MI (adjusted, pairwise), GCN, DCI (gradient boosting), modularity, explicitness, IRS</t>
  </si>
  <si>
    <t>Posterior means / deterministic outputs.</t>
  </si>
  <si>
    <t>E-02</t>
  </si>
  <si>
    <t>Factors</t>
  </si>
  <si>
    <t>classification_tasks</t>
  </si>
  <si>
    <t>vowel, speaker_frame</t>
  </si>
  <si>
    <t>phoneme, speaker_frame</t>
  </si>
  <si>
    <t>phoneme, speaker_frame, emotion_frame</t>
  </si>
  <si>
    <t>E-03</t>
  </si>
  <si>
    <t>Label overlaps</t>
  </si>
  <si>
    <t>discard_label_overlaps</t>
  </si>
  <si>
    <t>E-04</t>
  </si>
  <si>
    <t>Disentanglement CV splits</t>
  </si>
  <si>
    <t>disentanglement_eval_cv_splits</t>
  </si>
  <si>
    <t>E-05</t>
  </si>
  <si>
    <t>Z, S</t>
  </si>
  <si>
    <t>Classification CV splits</t>
  </si>
  <si>
    <t>classif_eval_cv_splits</t>
  </si>
  <si>
    <t>E-06</t>
  </si>
  <si>
    <t>Random states</t>
  </si>
  <si>
    <t>random_states</t>
  </si>
  <si>
    <t>DecVAE 10; trained baselines 1</t>
  </si>
  <si>
    <t>5 (all)</t>
  </si>
  <si>
    <t>DecVAE / SSL / PCA / SFA 10; trained baselines 1</t>
  </si>
  <si>
    <t>Must match across methods.</t>
  </si>
  <si>
    <t>E-07</t>
  </si>
  <si>
    <t>Classification</t>
  </si>
  <si>
    <t>classify</t>
  </si>
  <si>
    <t>False (no TIMIT classification results)</t>
  </si>
  <si>
    <t>TIMIT reports disentanglement only.</t>
  </si>
  <si>
    <t>E-08</t>
  </si>
  <si>
    <t>S</t>
  </si>
  <si>
    <t>Sequence tasks</t>
  </si>
  <si>
    <t>speaker_seq</t>
  </si>
  <si>
    <t>speaker_seq, emotion_seq</t>
  </si>
  <si>
    <t>One factor: accuracy only, no disentanglement metrics.</t>
  </si>
  <si>
    <t>E-09</t>
  </si>
  <si>
    <t>Sequence readout rule</t>
  </si>
  <si>
    <t>*_seq_pooling</t>
  </si>
  <si>
    <t>mean over frames (unmasked, as DecVAE's AdaptiveAvgPool1d)</t>
  </si>
  <si>
    <t>Exception: FHVAE uses its s-vector. On IEMOCAP the unmasked mean also carries length.</t>
  </si>
  <si>
    <t>E-10</t>
  </si>
  <si>
    <t>Frame representation</t>
  </si>
  <si>
    <t>concatenated subspaces (C + 1) x 48</t>
  </si>
  <si>
    <t>(C + 1) x 64</t>
  </si>
  <si>
    <t>as source</t>
  </si>
  <si>
    <t>E-11</t>
  </si>
  <si>
    <t>Sequence representation</t>
  </si>
  <si>
    <t>S latent (24)</t>
  </si>
  <si>
    <t>S latent (32)</t>
  </si>
  <si>
    <t>E-12</t>
  </si>
  <si>
    <t>cost_representation</t>
  </si>
  <si>
    <t>trend + season (both), 96</t>
  </si>
  <si>
    <t>both, 128</t>
  </si>
  <si>
    <t>both</t>
  </si>
  <si>
    <t>E-13</t>
  </si>
  <si>
    <t>Sequence pooling</t>
  </si>
  <si>
    <t>cost_seq_pooling</t>
  </si>
  <si>
    <t>mean</t>
  </si>
  <si>
    <t>E-14</t>
  </si>
  <si>
    <t>tfc_representation</t>
  </si>
  <si>
    <t>z_time + z_freq projector outputs, 96</t>
  </si>
  <si>
    <t>model.eval() for BatchNorm.</t>
  </si>
  <si>
    <t>E-15</t>
  </si>
  <si>
    <t>tfc_seq_pooling</t>
  </si>
  <si>
    <t>E-16</t>
  </si>
  <si>
    <t>(last hidden layer)</t>
  </si>
  <si>
    <t>abs features, 48</t>
  </si>
  <si>
    <t>Evaluate EMA-averaged weights (reference).</t>
  </si>
  <si>
    <t>E-17</t>
  </si>
  <si>
    <t>tcl_seq_pooling</t>
  </si>
  <si>
    <t>E-18</t>
  </si>
  <si>
    <t>Frame representation (headline)</t>
  </si>
  <si>
    <t>cpc_representation</t>
  </si>
  <si>
    <t>context c, 48</t>
  </si>
  <si>
    <t>context c, 64</t>
  </si>
  <si>
    <t>context c</t>
  </si>
  <si>
    <t>E-19</t>
  </si>
  <si>
    <t>Frame representation (secondary)</t>
  </si>
  <si>
    <t>encoder z (post-ReLU)</t>
  </si>
  <si>
    <t>encoder z</t>
  </si>
  <si>
    <t>Fixed in advance; z is non-Gaussian (about 50% zeros).</t>
  </si>
  <si>
    <t>E-20</t>
  </si>
  <si>
    <t>cpc_seq_pooling</t>
  </si>
  <si>
    <t>mean (not last frame)</t>
  </si>
  <si>
    <t>The last frame is not trained to summarize the utterance.</t>
  </si>
  <si>
    <t>E-21</t>
  </si>
  <si>
    <t>fhvae_representation</t>
  </si>
  <si>
    <t>[mu_seg ; mu_seq], shift-1 centred windows, 96</t>
  </si>
  <si>
    <t>same, 128</t>
  </si>
  <si>
    <t>Reference frame readout (get_frame_ra_dataset_conf, _pad_feats).</t>
  </si>
  <si>
    <t>E-22</t>
  </si>
  <si>
    <t>mu_seg only</t>
  </si>
  <si>
    <t>Shows speaker leakage into the segment latent.</t>
  </si>
  <si>
    <t>E-23</t>
  </si>
  <si>
    <t>fhvae_seq_pooling</t>
  </si>
  <si>
    <t>s-vector mu_hat = sum mu_seq / (N + 0.25), non-overlapping segments</t>
  </si>
  <si>
    <t>Reference dump_repr (which_repr = mu1).</t>
  </si>
  <si>
    <t>E-24</t>
  </si>
  <si>
    <t>Padding mask passed to encode</t>
  </si>
  <si>
    <t>post-analysis</t>
  </si>
  <si>
    <t>needed</t>
  </si>
  <si>
    <t>Windows must not read padded frames.</t>
  </si>
  <si>
    <t>E-25</t>
  </si>
  <si>
    <t>Frozen SSL</t>
  </si>
  <si>
    <t>Z / S</t>
  </si>
  <si>
    <t>Branches evaluated</t>
  </si>
  <si>
    <t>Z only</t>
  </si>
  <si>
    <t>Z + S</t>
  </si>
  <si>
    <t>E-26</t>
  </si>
  <si>
    <t>Layer / reduction</t>
  </si>
  <si>
    <t>ssl_hidden_layer, ssl_pca_components</t>
  </si>
  <si>
    <t>last layer, no PCA</t>
  </si>
  <si>
    <t>No PCA / ICA on SSL embeddings.</t>
  </si>
  <si>
    <t>#</t>
  </si>
  <si>
    <t>Item</t>
  </si>
  <si>
    <t>Where</t>
  </si>
  <si>
    <t>Action</t>
  </si>
  <si>
    <t>Linked ID</t>
  </si>
  <si>
    <t>Priority</t>
  </si>
  <si>
    <t>MLR stage longer than the whole run</t>
  </si>
  <si>
    <t>tcl_args / tcl.py train_steps</t>
  </si>
  <si>
    <t>Separate classifier-only stage of 10% of the main stage, then main stage; decay at 5/7 of main stage.</t>
  </si>
  <si>
    <t>TC-06, TC-07</t>
  </si>
  <si>
    <t>Open</t>
  </si>
  <si>
    <t>No EMA weights for evaluation</t>
  </si>
  <si>
    <t>tcl.py / trainer / post-analysis</t>
  </si>
  <si>
    <t>Keep EMA 0.999 of weights; evaluate the averaged weights.</t>
  </si>
  <si>
    <t>TC-08, E-16</t>
  </si>
  <si>
    <t>Batch sizes not at 16 / 8</t>
  </si>
  <si>
    <t>All baselines</t>
  </si>
  <si>
    <t>pre-training configs</t>
  </si>
  <si>
    <t>Set per_device_train_batch_size 16 (SimVowels) / 8 (TIMIT).</t>
  </si>
  <si>
    <t>CO/TF/TC/CP/FH batch rows</t>
  </si>
  <si>
    <t>Early-stopping warmup 10000 steps</t>
  </si>
  <si>
    <t>Set 28000 / 41568 (100 epochs at 16 / 8) or define in epochs.</t>
  </si>
  <si>
    <t>Gradient clipping 1.0</t>
  </si>
  <si>
    <t>CoST, TF-C, TCL, CPC</t>
  </si>
  <si>
    <t>pre-training and fine-tuning configs</t>
  </si>
  <si>
    <t>Set clip_grad_value to None.</t>
  </si>
  <si>
    <t>S-16, F-05</t>
  </si>
  <si>
    <t>TF-C epochs 40</t>
  </si>
  <si>
    <t>Set num_train_epochs 150.</t>
  </si>
  <si>
    <t>TF-C TIMIT projector 48</t>
  </si>
  <si>
    <t>config_pretraining_tfc_timit.json</t>
  </si>
  <si>
    <t>Set tfc_projector_dim 64.</t>
  </si>
  <si>
    <t>Evaluation random_states differ</t>
  </si>
  <si>
    <t>latent_evaluations configs</t>
  </si>
  <si>
    <t>Use one value per dataset for every method.</t>
  </si>
  <si>
    <t>Subset caches for trained baselines</t>
  </si>
  <si>
    <t>TIMIT / IEMOCAP configs</t>
  </si>
  <si>
    <t>Point final runs at the full caches used by DecVAE.</t>
  </si>
  <si>
    <t>TF-C contrastive frames as a fraction</t>
  </si>
  <si>
    <t>tfc.py sampler</t>
  </si>
  <si>
    <t>Sample 50% of each utterance's valid frames instead of a fixed count (TIMIT).</t>
  </si>
  <si>
    <t>CPC g_enc hidden 256</t>
  </si>
  <si>
    <t>cpc configs</t>
  </si>
  <si>
    <t>Confirm 512 (reference and DecVAE).</t>
  </si>
  <si>
    <t>CPC encoder norm</t>
  </si>
  <si>
    <t>Confirm ChannelNorm (CPC_audio) vs none (Spijkervet).</t>
  </si>
  <si>
    <t>FHVAE d_seq vs DecVAE S</t>
  </si>
  <si>
    <t>fhvae configs</t>
  </si>
  <si>
    <t>Decide 48 / 64 (Z rule) or 24 / 32 (DecVAE S).</t>
  </si>
  <si>
    <t>FHVAE IEMOCAP fine-tuning</t>
  </si>
  <si>
    <t>config_files/baselines/fhvae/iemocap</t>
  </si>
  <si>
    <t>Add configs; rebuild the mu table for IEMOCAP training utterances.</t>
  </si>
  <si>
    <t>F-15 to F-17</t>
  </si>
  <si>
    <t>TCL segment duration 0.025 s</t>
  </si>
  <si>
    <t>tcl configs; tcl_args help text</t>
  </si>
  <si>
    <t>Set 0.02 for clarity; update the help text (default 0.25, range 0.1-0.5).</t>
  </si>
  <si>
    <t>CoST padded frames</t>
  </si>
  <si>
    <t>cost.py encode</t>
  </si>
  <si>
    <t>Confirm padded frames are removed before pooling.</t>
  </si>
  <si>
    <t>DecVAE SimVowels LR and batch</t>
  </si>
  <si>
    <t>DecVAEs/sim_vowels config</t>
  </si>
  <si>
    <t>Confirm the reported runs used Z LR 8e-5 and batch 16 / 8.</t>
  </si>
  <si>
    <t>DV-06, DV-10</t>
  </si>
  <si>
    <t>Min duration 1 s vs 0.0</t>
  </si>
  <si>
    <t>configs vs SI Table 3</t>
  </si>
  <si>
    <t>Align configs with the SI or correct the SI.</t>
  </si>
  <si>
    <t>Confirm last vs min-val-loss checkpoint, same for all methods.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</si>
</sst>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3" borderId="0" xfId="0" applyFont="1" applyFill="1"/>
    <xf numFmtId="0" fontId="2" fillId="0" borderId="1" xfId="0" applyFont="1" applyBorder="1"/>
    <xf numFmtId="0" fontId="5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F8CBAD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BDD7E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0B4"/>
      <rgbColor rgb="00FFE6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showGridLines="0" topLeftCell="A13" workbookViewId="0">
      <selection activeCell="A1" sqref="A1"/>
    </sheetView>
  </sheetViews>
  <sheetFormatPr defaultColWidth="8.68181818181818" defaultRowHeight="14.5" outlineLevelCol="7"/>
  <cols>
    <col min="1" max="1" width="26" customWidth="1"/>
    <col min="2" max="8" width="14" customWidth="1"/>
  </cols>
  <sheetData>
    <row r="1" ht="18" spans="1:2">
      <c r="A1" s="4" t="s">
        <v>0</v>
      </c>
    </row>
    <row r="2" spans="1:2">
      <c r="A2" s="5" t="s">
        <v>1</v>
      </c>
    </row>
    <row r="3" spans="1:2">
      <c r="A3" s="5" t="s">
        <v>2</v>
      </c>
    </row>
    <row r="4" spans="1:2">
      <c r="A4" s="5" t="s">
        <v>3</v>
      </c>
    </row>
    <row r="6" spans="1:2">
      <c r="A6" s="6" t="s">
        <v>4</v>
      </c>
    </row>
    <row r="7" spans="1:2">
      <c r="A7" s="7" t="s">
        <v>5</v>
      </c>
      <c r="B7" s="7" t="s">
        <v>6</v>
      </c>
    </row>
    <row r="8" spans="1:2">
      <c r="A8" s="7" t="s">
        <v>7</v>
      </c>
      <c r="B8" s="7" t="s">
        <v>8</v>
      </c>
    </row>
    <row r="9" spans="1:2">
      <c r="A9" s="7" t="s">
        <v>9</v>
      </c>
      <c r="B9" s="7" t="s">
        <v>10</v>
      </c>
    </row>
    <row r="10" spans="1:2">
      <c r="A10" s="7" t="s">
        <v>11</v>
      </c>
      <c r="B10" s="7" t="s">
        <v>12</v>
      </c>
    </row>
    <row r="11" spans="1:2">
      <c r="A11" s="7" t="s">
        <v>13</v>
      </c>
      <c r="B11" s="7" t="s">
        <v>14</v>
      </c>
    </row>
    <row r="13" spans="1:2">
      <c r="A13" s="6" t="s">
        <v>15</v>
      </c>
    </row>
    <row r="14" spans="1:2">
      <c r="A14" s="8" t="s">
        <v>16</v>
      </c>
      <c r="B14" s="7" t="s">
        <v>17</v>
      </c>
    </row>
    <row r="15" spans="1:2">
      <c r="A15" s="7" t="s">
        <v>18</v>
      </c>
      <c r="B15" s="7" t="s">
        <v>19</v>
      </c>
    </row>
    <row r="16" spans="1:2">
      <c r="A16" s="7" t="s">
        <v>20</v>
      </c>
      <c r="B16" s="7" t="s">
        <v>21</v>
      </c>
    </row>
    <row r="17" spans="1:8">
      <c r="A17" s="7" t="s">
        <v>22</v>
      </c>
      <c r="B17" s="7" t="s">
        <v>23</v>
      </c>
    </row>
    <row r="18" spans="1:8">
      <c r="A18" s="7" t="s">
        <v>24</v>
      </c>
      <c r="B18" s="7" t="s">
        <v>25</v>
      </c>
    </row>
    <row r="20" spans="1:8">
      <c r="A20" s="6" t="s">
        <v>26</v>
      </c>
    </row>
    <row r="21" spans="1:8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31</v>
      </c>
      <c r="F21" s="1" t="s">
        <v>32</v>
      </c>
      <c r="G21" s="1" t="s">
        <v>33</v>
      </c>
      <c r="H21" s="1" t="s">
        <v>34</v>
      </c>
    </row>
    <row r="22" spans="1:8">
      <c r="A22" s="9" t="s">
        <v>35</v>
      </c>
      <c r="B22" s="9">
        <f>COUNTIF('Pre-training'!$B$2:$B$106,A22)</f>
        <v>13</v>
      </c>
      <c r="C22" s="9">
        <f>COUNTIFS('Pre-training'!$B$2:$B$106,A22,'Pre-training'!$M$2:$M$106,"Yes")</f>
        <v>0</v>
      </c>
      <c r="D22" s="9">
        <f>COUNTIFS('Pre-training'!$B$2:$B$106,$A22,'Pre-training'!$O$2:$O$106,"Final")</f>
        <v>11</v>
      </c>
      <c r="E22" s="9">
        <f>COUNTIFS('Pre-training'!$B$2:$B$106,$A22,'Pre-training'!$O$2:$O$106,"Decided (user)")</f>
        <v>0</v>
      </c>
      <c r="F22" s="9">
        <f>COUNTIFS('Pre-training'!$B$2:$B$106,$A22,'Pre-training'!$O$2:$O$106,"To confirm")</f>
        <v>2</v>
      </c>
      <c r="G22" s="9">
        <f>COUNTIFS('Pre-training'!$B$2:$B$106,$A22,'Pre-training'!$O$2:$O$106,"To fix")</f>
        <v>0</v>
      </c>
      <c r="H22" s="9">
        <f>COUNTIFS('Pre-training'!$B$2:$B$106,$A22,'Pre-training'!$O$2:$O$106,"To implement")</f>
        <v>0</v>
      </c>
    </row>
    <row r="23" spans="1:8">
      <c r="A23" s="9" t="s">
        <v>36</v>
      </c>
      <c r="B23" s="9">
        <f>COUNTIF('Pre-training'!$B$2:$B$106,A23)</f>
        <v>20</v>
      </c>
      <c r="C23" s="9">
        <f>COUNTIFS('Pre-training'!$B$2:$B$106,A23,'Pre-training'!$M$2:$M$106,"Yes")</f>
        <v>7</v>
      </c>
      <c r="D23" s="9">
        <f>COUNTIFS('Pre-training'!$B$2:$B$106,$A23,'Pre-training'!$O$2:$O$106,"Final")</f>
        <v>16</v>
      </c>
      <c r="E23" s="9">
        <f>COUNTIFS('Pre-training'!$B$2:$B$106,$A23,'Pre-training'!$O$2:$O$106,"Decided (user)")</f>
        <v>0</v>
      </c>
      <c r="F23" s="9">
        <f>COUNTIFS('Pre-training'!$B$2:$B$106,$A23,'Pre-training'!$O$2:$O$106,"To confirm")</f>
        <v>1</v>
      </c>
      <c r="G23" s="9">
        <f>COUNTIFS('Pre-training'!$B$2:$B$106,$A23,'Pre-training'!$O$2:$O$106,"To fix")</f>
        <v>3</v>
      </c>
      <c r="H23" s="9">
        <f>COUNTIFS('Pre-training'!$B$2:$B$106,$A23,'Pre-training'!$O$2:$O$106,"To implement")</f>
        <v>0</v>
      </c>
    </row>
    <row r="24" spans="1:8">
      <c r="A24" s="9" t="s">
        <v>37</v>
      </c>
      <c r="B24" s="9">
        <f>COUNTIF('Pre-training'!$B$2:$B$106,A24)</f>
        <v>20</v>
      </c>
      <c r="C24" s="9">
        <f>COUNTIFS('Pre-training'!$B$2:$B$106,A24,'Pre-training'!$M$2:$M$106,"Yes")</f>
        <v>7</v>
      </c>
      <c r="D24" s="9">
        <f>COUNTIFS('Pre-training'!$B$2:$B$106,$A24,'Pre-training'!$O$2:$O$106,"Final")</f>
        <v>14</v>
      </c>
      <c r="E24" s="9">
        <f>COUNTIFS('Pre-training'!$B$2:$B$106,$A24,'Pre-training'!$O$2:$O$106,"Decided (user)")</f>
        <v>1</v>
      </c>
      <c r="F24" s="9">
        <f>COUNTIFS('Pre-training'!$B$2:$B$106,$A24,'Pre-training'!$O$2:$O$106,"To confirm")</f>
        <v>0</v>
      </c>
      <c r="G24" s="9">
        <f>COUNTIFS('Pre-training'!$B$2:$B$106,$A24,'Pre-training'!$O$2:$O$106,"To fix")</f>
        <v>5</v>
      </c>
      <c r="H24" s="9">
        <f>COUNTIFS('Pre-training'!$B$2:$B$106,$A24,'Pre-training'!$O$2:$O$106,"To implement")</f>
        <v>0</v>
      </c>
    </row>
    <row r="25" spans="1:8">
      <c r="A25" s="9" t="s">
        <v>38</v>
      </c>
      <c r="B25" s="9">
        <f>COUNTIF('Pre-training'!$B$2:$B$106,A25)</f>
        <v>16</v>
      </c>
      <c r="C25" s="9">
        <f>COUNTIFS('Pre-training'!$B$2:$B$106,A25,'Pre-training'!$M$2:$M$106,"Yes")</f>
        <v>8</v>
      </c>
      <c r="D25" s="9">
        <f>COUNTIFS('Pre-training'!$B$2:$B$106,$A25,'Pre-training'!$O$2:$O$106,"Final")</f>
        <v>9</v>
      </c>
      <c r="E25" s="9">
        <f>COUNTIFS('Pre-training'!$B$2:$B$106,$A25,'Pre-training'!$O$2:$O$106,"Decided (user)")</f>
        <v>0</v>
      </c>
      <c r="F25" s="9">
        <f>COUNTIFS('Pre-training'!$B$2:$B$106,$A25,'Pre-training'!$O$2:$O$106,"To confirm")</f>
        <v>1</v>
      </c>
      <c r="G25" s="9">
        <f>COUNTIFS('Pre-training'!$B$2:$B$106,$A25,'Pre-training'!$O$2:$O$106,"To fix")</f>
        <v>5</v>
      </c>
      <c r="H25" s="9">
        <f>COUNTIFS('Pre-training'!$B$2:$B$106,$A25,'Pre-training'!$O$2:$O$106,"To implement")</f>
        <v>1</v>
      </c>
    </row>
    <row r="26" spans="1:8">
      <c r="A26" s="9" t="s">
        <v>39</v>
      </c>
      <c r="B26" s="9">
        <f>COUNTIF('Pre-training'!$B$2:$B$106,A26)</f>
        <v>19</v>
      </c>
      <c r="C26" s="9">
        <f>COUNTIFS('Pre-training'!$B$2:$B$106,A26,'Pre-training'!$M$2:$M$106,"Yes")</f>
        <v>10</v>
      </c>
      <c r="D26" s="9">
        <f>COUNTIFS('Pre-training'!$B$2:$B$106,$A26,'Pre-training'!$O$2:$O$106,"Final")</f>
        <v>14</v>
      </c>
      <c r="E26" s="9">
        <f>COUNTIFS('Pre-training'!$B$2:$B$106,$A26,'Pre-training'!$O$2:$O$106,"Decided (user)")</f>
        <v>0</v>
      </c>
      <c r="F26" s="9">
        <f>COUNTIFS('Pre-training'!$B$2:$B$106,$A26,'Pre-training'!$O$2:$O$106,"To confirm")</f>
        <v>2</v>
      </c>
      <c r="G26" s="9">
        <f>COUNTIFS('Pre-training'!$B$2:$B$106,$A26,'Pre-training'!$O$2:$O$106,"To fix")</f>
        <v>3</v>
      </c>
      <c r="H26" s="9">
        <f>COUNTIFS('Pre-training'!$B$2:$B$106,$A26,'Pre-training'!$O$2:$O$106,"To implement")</f>
        <v>0</v>
      </c>
    </row>
    <row r="27" spans="1:8">
      <c r="A27" s="9" t="s">
        <v>40</v>
      </c>
      <c r="B27" s="9">
        <f>COUNTIF('Pre-training'!$B$2:$B$106,A27)</f>
        <v>17</v>
      </c>
      <c r="C27" s="9">
        <f>COUNTIFS('Pre-training'!$B$2:$B$106,A27,'Pre-training'!$M$2:$M$106,"Yes")</f>
        <v>7</v>
      </c>
      <c r="D27" s="9">
        <f>COUNTIFS('Pre-training'!$B$2:$B$106,$A27,'Pre-training'!$O$2:$O$106,"Final")</f>
        <v>14</v>
      </c>
      <c r="E27" s="9">
        <f>COUNTIFS('Pre-training'!$B$2:$B$106,$A27,'Pre-training'!$O$2:$O$106,"Decided (user)")</f>
        <v>0</v>
      </c>
      <c r="F27" s="9">
        <f>COUNTIFS('Pre-training'!$B$2:$B$106,$A27,'Pre-training'!$O$2:$O$106,"To confirm")</f>
        <v>1</v>
      </c>
      <c r="G27" s="9">
        <f>COUNTIFS('Pre-training'!$B$2:$B$106,$A27,'Pre-training'!$O$2:$O$106,"To fix")</f>
        <v>2</v>
      </c>
      <c r="H27" s="9">
        <f>COUNTIFS('Pre-training'!$B$2:$B$106,$A27,'Pre-training'!$O$2:$O$106,"To implement")</f>
        <v>0</v>
      </c>
    </row>
    <row r="28" spans="1:8">
      <c r="A28" s="10" t="s">
        <v>41</v>
      </c>
      <c r="B28" s="10">
        <f t="shared" ref="B28:H28" si="0">SUM(B22:B27)</f>
        <v>105</v>
      </c>
      <c r="C28" s="10">
        <f t="shared" si="0"/>
        <v>39</v>
      </c>
      <c r="D28" s="10">
        <f t="shared" si="0"/>
        <v>78</v>
      </c>
      <c r="E28" s="10">
        <f t="shared" si="0"/>
        <v>1</v>
      </c>
      <c r="F28" s="10">
        <f t="shared" si="0"/>
        <v>7</v>
      </c>
      <c r="G28" s="10">
        <f t="shared" si="0"/>
        <v>18</v>
      </c>
      <c r="H28" s="10">
        <f t="shared" si="0"/>
        <v>1</v>
      </c>
    </row>
    <row r="30" spans="1:8">
      <c r="A30" s="6" t="s">
        <v>42</v>
      </c>
    </row>
    <row r="31" spans="1:8">
      <c r="A31" s="9" t="s">
        <v>43</v>
      </c>
      <c r="B31" s="9">
        <f>COUNTIFS(Tracker!$G$2:$G$20,A31,Tracker!$H$2:$H$20,"&lt;&gt;Done")</f>
        <v>1</v>
      </c>
    </row>
    <row r="32" spans="1:8">
      <c r="A32" s="9" t="s">
        <v>44</v>
      </c>
      <c r="B32" s="9">
        <f>COUNTIFS(Tracker!$G$2:$G$20,A32,Tracker!$H$2:$H$20,"&lt;&gt;Done")</f>
        <v>8</v>
      </c>
    </row>
    <row r="33" spans="1:2">
      <c r="A33" s="9" t="s">
        <v>45</v>
      </c>
      <c r="B33" s="9">
        <f>COUNTIFS(Tracker!$G$2:$G$20,A33,Tracker!$H$2:$H$20,"&lt;&gt;Done")</f>
        <v>6</v>
      </c>
    </row>
    <row r="34" spans="1:2">
      <c r="A34" s="9" t="s">
        <v>46</v>
      </c>
      <c r="B34" s="9">
        <f>COUNTIFS(Tracker!$G$2:$G$20,A34,Tracker!$H$2:$H$20,"&lt;&gt;Done")</f>
        <v>4</v>
      </c>
    </row>
    <row r="36" spans="1:2">
      <c r="A36" s="6" t="s">
        <v>47</v>
      </c>
      <c r="B36" s="6">
        <f>COUNTIF('Pre-training'!$L$2:$L$106,"differs")</f>
        <v>24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7" customWidth="1"/>
    <col min="2" max="2" width="16" customWidth="1"/>
    <col min="3" max="3" width="30" customWidth="1"/>
    <col min="4" max="6" width="26" customWidth="1"/>
    <col min="7" max="7" width="22" customWidth="1"/>
    <col min="8" max="8" width="50" customWidth="1"/>
    <col min="9" max="9" width="14" customWidth="1"/>
  </cols>
  <sheetData>
    <row r="1" ht="30" customHeight="1" spans="1:9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20</v>
      </c>
    </row>
    <row r="2" spans="1:9">
      <c r="A2" s="2" t="s">
        <v>56</v>
      </c>
      <c r="B2" s="2" t="s">
        <v>57</v>
      </c>
      <c r="C2" s="2" t="s">
        <v>58</v>
      </c>
      <c r="D2" s="3" t="s">
        <v>59</v>
      </c>
      <c r="E2" s="3" t="s">
        <v>60</v>
      </c>
      <c r="F2" s="3" t="s">
        <v>61</v>
      </c>
      <c r="G2" s="2" t="s">
        <v>62</v>
      </c>
      <c r="H2" s="3" t="s">
        <v>63</v>
      </c>
      <c r="I2" s="3" t="s">
        <v>30</v>
      </c>
    </row>
    <row r="3" ht="25" spans="1:9">
      <c r="A3" s="2" t="s">
        <v>64</v>
      </c>
      <c r="B3" s="2" t="s">
        <v>57</v>
      </c>
      <c r="C3" s="2" t="s">
        <v>65</v>
      </c>
      <c r="D3" s="3" t="s">
        <v>66</v>
      </c>
      <c r="E3" s="3" t="s">
        <v>67</v>
      </c>
      <c r="F3" s="3" t="s">
        <v>68</v>
      </c>
      <c r="G3" s="2" t="s">
        <v>62</v>
      </c>
      <c r="H3" s="3" t="s">
        <v>69</v>
      </c>
      <c r="I3" s="3" t="s">
        <v>32</v>
      </c>
    </row>
    <row r="4" ht="37.5" spans="1:9">
      <c r="A4" s="2" t="s">
        <v>70</v>
      </c>
      <c r="B4" s="2" t="s">
        <v>57</v>
      </c>
      <c r="C4" s="2" t="s">
        <v>71</v>
      </c>
      <c r="D4" s="3" t="s">
        <v>72</v>
      </c>
      <c r="E4" s="3" t="s">
        <v>73</v>
      </c>
      <c r="F4" s="3" t="s">
        <v>74</v>
      </c>
      <c r="G4" s="2" t="s">
        <v>62</v>
      </c>
      <c r="H4" s="3" t="s">
        <v>75</v>
      </c>
      <c r="I4" s="3" t="s">
        <v>30</v>
      </c>
    </row>
    <row r="5" ht="37.5" spans="1:9">
      <c r="A5" s="2" t="s">
        <v>76</v>
      </c>
      <c r="B5" s="2" t="s">
        <v>57</v>
      </c>
      <c r="C5" s="2" t="s">
        <v>77</v>
      </c>
      <c r="D5" s="3" t="s">
        <v>78</v>
      </c>
      <c r="E5" s="3" t="s">
        <v>79</v>
      </c>
      <c r="F5" s="3" t="s">
        <v>80</v>
      </c>
      <c r="G5" s="2" t="s">
        <v>62</v>
      </c>
      <c r="H5" s="3" t="s">
        <v>81</v>
      </c>
      <c r="I5" s="3" t="s">
        <v>32</v>
      </c>
    </row>
    <row r="6" ht="25" spans="1:9">
      <c r="A6" s="2" t="s">
        <v>82</v>
      </c>
      <c r="B6" s="2" t="s">
        <v>83</v>
      </c>
      <c r="C6" s="2" t="s">
        <v>84</v>
      </c>
      <c r="D6" s="3" t="s">
        <v>85</v>
      </c>
      <c r="E6" s="3" t="s">
        <v>86</v>
      </c>
      <c r="F6" s="3" t="s">
        <v>86</v>
      </c>
      <c r="G6" s="2" t="s">
        <v>87</v>
      </c>
      <c r="H6" s="3" t="s">
        <v>88</v>
      </c>
      <c r="I6" s="3" t="s">
        <v>30</v>
      </c>
    </row>
    <row r="7" spans="1:9">
      <c r="A7" s="2" t="s">
        <v>89</v>
      </c>
      <c r="B7" s="2" t="s">
        <v>83</v>
      </c>
      <c r="C7" s="2" t="s">
        <v>90</v>
      </c>
      <c r="D7" s="3" t="s">
        <v>91</v>
      </c>
      <c r="E7" s="3" t="s">
        <v>86</v>
      </c>
      <c r="F7" s="3" t="s">
        <v>86</v>
      </c>
      <c r="G7" s="2" t="s">
        <v>62</v>
      </c>
      <c r="H7" s="3" t="s">
        <v>92</v>
      </c>
      <c r="I7" s="3" t="s">
        <v>30</v>
      </c>
    </row>
    <row r="8" ht="25" spans="1:9">
      <c r="A8" s="2" t="s">
        <v>93</v>
      </c>
      <c r="B8" s="2" t="s">
        <v>83</v>
      </c>
      <c r="C8" s="2" t="s">
        <v>94</v>
      </c>
      <c r="D8" s="3" t="s">
        <v>95</v>
      </c>
      <c r="E8" s="3" t="s">
        <v>96</v>
      </c>
      <c r="F8" s="3" t="s">
        <v>96</v>
      </c>
      <c r="G8" s="2" t="s">
        <v>97</v>
      </c>
      <c r="H8" s="3" t="s">
        <v>98</v>
      </c>
      <c r="I8" s="3" t="s">
        <v>30</v>
      </c>
    </row>
    <row r="9" spans="1:9">
      <c r="A9" s="2" t="s">
        <v>99</v>
      </c>
      <c r="B9" s="2" t="s">
        <v>100</v>
      </c>
      <c r="C9" s="2" t="s">
        <v>101</v>
      </c>
      <c r="D9" s="3" t="s">
        <v>102</v>
      </c>
      <c r="E9" s="3" t="s">
        <v>103</v>
      </c>
      <c r="F9" s="3" t="s">
        <v>104</v>
      </c>
      <c r="G9" s="2" t="s">
        <v>62</v>
      </c>
      <c r="H9" s="3" t="s">
        <v>105</v>
      </c>
      <c r="I9" s="3" t="s">
        <v>30</v>
      </c>
    </row>
    <row r="10" ht="25" spans="1:9">
      <c r="A10" s="2" t="s">
        <v>106</v>
      </c>
      <c r="B10" s="2" t="s">
        <v>107</v>
      </c>
      <c r="C10" s="2" t="s">
        <v>108</v>
      </c>
      <c r="D10" s="3" t="s">
        <v>109</v>
      </c>
      <c r="E10" s="3" t="s">
        <v>110</v>
      </c>
      <c r="F10" s="3" t="s">
        <v>111</v>
      </c>
      <c r="G10" s="2" t="s">
        <v>62</v>
      </c>
      <c r="H10" s="3" t="s">
        <v>112</v>
      </c>
      <c r="I10" s="3" t="s">
        <v>30</v>
      </c>
    </row>
    <row r="11" spans="1:9">
      <c r="A11" s="2" t="s">
        <v>113</v>
      </c>
      <c r="B11" s="2" t="s">
        <v>114</v>
      </c>
      <c r="C11" s="2" t="s">
        <v>115</v>
      </c>
      <c r="D11" s="3" t="s">
        <v>116</v>
      </c>
      <c r="E11" s="3" t="s">
        <v>116</v>
      </c>
      <c r="F11" s="3" t="s">
        <v>117</v>
      </c>
      <c r="G11" s="2" t="s">
        <v>62</v>
      </c>
      <c r="H11" s="3" t="s">
        <v>118</v>
      </c>
      <c r="I11" s="3" t="s">
        <v>30</v>
      </c>
    </row>
    <row r="12" ht="37.5" spans="1:9">
      <c r="A12" s="2" t="s">
        <v>119</v>
      </c>
      <c r="B12" s="2" t="s">
        <v>114</v>
      </c>
      <c r="C12" s="2" t="s">
        <v>120</v>
      </c>
      <c r="D12" s="3" t="s">
        <v>121</v>
      </c>
      <c r="E12" s="3" t="s">
        <v>122</v>
      </c>
      <c r="F12" s="3" t="s">
        <v>123</v>
      </c>
      <c r="G12" s="2" t="s">
        <v>62</v>
      </c>
      <c r="H12" s="3" t="s">
        <v>124</v>
      </c>
      <c r="I12" s="3" t="s">
        <v>30</v>
      </c>
    </row>
    <row r="13" ht="25" spans="1:9">
      <c r="A13" s="2" t="s">
        <v>125</v>
      </c>
      <c r="B13" s="2" t="s">
        <v>114</v>
      </c>
      <c r="C13" s="2" t="s">
        <v>126</v>
      </c>
      <c r="D13" s="3" t="s">
        <v>127</v>
      </c>
      <c r="E13" s="3" t="s">
        <v>86</v>
      </c>
      <c r="F13" s="3" t="s">
        <v>86</v>
      </c>
      <c r="G13" s="2" t="s">
        <v>62</v>
      </c>
      <c r="H13" s="3" t="s">
        <v>128</v>
      </c>
      <c r="I13" s="3" t="s">
        <v>32</v>
      </c>
    </row>
    <row r="14" spans="1:9">
      <c r="A14" s="2" t="s">
        <v>129</v>
      </c>
      <c r="B14" s="2" t="s">
        <v>130</v>
      </c>
      <c r="C14" s="2" t="s">
        <v>131</v>
      </c>
      <c r="D14" s="3" t="s">
        <v>132</v>
      </c>
      <c r="E14" s="3" t="s">
        <v>132</v>
      </c>
      <c r="F14" s="3" t="s">
        <v>133</v>
      </c>
      <c r="G14" s="2" t="s">
        <v>134</v>
      </c>
      <c r="H14" s="3" t="s">
        <v>135</v>
      </c>
      <c r="I14" s="3" t="s">
        <v>30</v>
      </c>
    </row>
    <row r="15" ht="25" spans="1:9">
      <c r="A15" s="2" t="s">
        <v>136</v>
      </c>
      <c r="B15" s="2" t="s">
        <v>137</v>
      </c>
      <c r="C15" s="2" t="s">
        <v>138</v>
      </c>
      <c r="D15" s="3" t="s">
        <v>139</v>
      </c>
      <c r="E15" s="3" t="s">
        <v>86</v>
      </c>
      <c r="F15" s="3" t="s">
        <v>86</v>
      </c>
      <c r="G15" s="2" t="s">
        <v>134</v>
      </c>
      <c r="H15" s="3" t="s">
        <v>140</v>
      </c>
      <c r="I15" s="3" t="s">
        <v>30</v>
      </c>
    </row>
    <row r="16" spans="1:9">
      <c r="A16" s="2" t="s">
        <v>141</v>
      </c>
      <c r="B16" s="2" t="s">
        <v>137</v>
      </c>
      <c r="C16" s="2" t="s">
        <v>142</v>
      </c>
      <c r="D16" s="3" t="s">
        <v>143</v>
      </c>
      <c r="E16" s="3" t="s">
        <v>143</v>
      </c>
      <c r="F16" s="3" t="s">
        <v>143</v>
      </c>
      <c r="G16" s="2" t="s">
        <v>134</v>
      </c>
      <c r="H16" s="3" t="s">
        <v>144</v>
      </c>
      <c r="I16" s="3" t="s">
        <v>30</v>
      </c>
    </row>
    <row r="17" spans="1:9">
      <c r="A17" s="2" t="s">
        <v>145</v>
      </c>
      <c r="B17" s="2" t="s">
        <v>130</v>
      </c>
      <c r="C17" s="2" t="s">
        <v>146</v>
      </c>
      <c r="D17" s="3" t="s">
        <v>143</v>
      </c>
      <c r="E17" s="3" t="s">
        <v>143</v>
      </c>
      <c r="F17" s="3" t="s">
        <v>143</v>
      </c>
      <c r="G17" s="2" t="s">
        <v>134</v>
      </c>
      <c r="H17" s="3" t="s">
        <v>147</v>
      </c>
      <c r="I17" s="3" t="s">
        <v>30</v>
      </c>
    </row>
    <row r="18" spans="1:9">
      <c r="A18" s="2" t="s">
        <v>148</v>
      </c>
      <c r="B18" s="2" t="s">
        <v>149</v>
      </c>
      <c r="C18" s="2" t="s">
        <v>150</v>
      </c>
      <c r="D18" s="3" t="s">
        <v>96</v>
      </c>
      <c r="E18" s="3" t="s">
        <v>96</v>
      </c>
      <c r="F18" s="3" t="s">
        <v>96</v>
      </c>
      <c r="G18" s="2" t="s">
        <v>62</v>
      </c>
      <c r="H18" s="3" t="s">
        <v>151</v>
      </c>
      <c r="I18" s="3" t="s">
        <v>30</v>
      </c>
    </row>
    <row r="19" spans="1:9">
      <c r="A19" s="2" t="s">
        <v>152</v>
      </c>
      <c r="B19" s="2" t="s">
        <v>149</v>
      </c>
      <c r="C19" s="2" t="s">
        <v>153</v>
      </c>
      <c r="D19" s="3" t="s">
        <v>154</v>
      </c>
      <c r="E19" s="3" t="s">
        <v>86</v>
      </c>
      <c r="F19" s="3" t="s">
        <v>86</v>
      </c>
      <c r="G19" s="2" t="s">
        <v>35</v>
      </c>
      <c r="H19" s="3" t="s">
        <v>155</v>
      </c>
      <c r="I19" s="3" t="s">
        <v>32</v>
      </c>
    </row>
  </sheetData>
  <autoFilter xmlns:etc="http://www.wps.cn/officeDocument/2017/etCustomData" ref="A1:I19" etc:filterBottomFollowUsedRange="0">
    <extLst/>
  </autoFilter>
  <conditionalFormatting sqref="I2:I19">
    <cfRule type="expression" dxfId="0" priority="2">
      <formula>I2="To fix"</formula>
    </cfRule>
    <cfRule type="expression" dxfId="0" priority="3">
      <formula>I2="To implement"</formula>
    </cfRule>
    <cfRule type="expression" dxfId="1" priority="4">
      <formula>I2="To confirm"</formula>
    </cfRule>
    <cfRule type="expression" dxfId="2" priority="5">
      <formula>I2="Final"</formula>
    </cfRule>
    <cfRule type="expression" dxfId="3" priority="6">
      <formula>I2="Decided (user)"</formula>
    </cfRule>
  </conditionalFormatting>
  <dataValidations count="1">
    <dataValidation type="list" allowBlank="1" sqref="I2:I19">
      <formula1>"Final,Decided (user),To confirm,To fix,To implement"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8" customWidth="1"/>
    <col min="2" max="2" width="10" customWidth="1"/>
    <col min="3" max="3" width="13" customWidth="1"/>
    <col min="4" max="6" width="26" customWidth="1"/>
    <col min="7" max="7" width="28" customWidth="1"/>
    <col min="8" max="9" width="24" customWidth="1"/>
    <col min="10" max="11" width="18" customWidth="1"/>
    <col min="12" max="12" width="12" customWidth="1"/>
    <col min="13" max="13" width="11" customWidth="1"/>
    <col min="14" max="14" width="44" customWidth="1"/>
    <col min="15" max="15" width="14" customWidth="1"/>
  </cols>
  <sheetData>
    <row r="1" ht="30" customHeight="1" spans="1:15">
      <c r="A1" s="1" t="s">
        <v>48</v>
      </c>
      <c r="B1" s="1" t="s">
        <v>27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18</v>
      </c>
      <c r="M1" s="1" t="s">
        <v>165</v>
      </c>
      <c r="N1" s="1" t="s">
        <v>166</v>
      </c>
      <c r="O1" s="1" t="s">
        <v>20</v>
      </c>
    </row>
    <row r="2" ht="37.5" spans="1:15">
      <c r="A2" s="2" t="s">
        <v>167</v>
      </c>
      <c r="B2" s="2" t="s">
        <v>35</v>
      </c>
      <c r="C2" s="2" t="s">
        <v>168</v>
      </c>
      <c r="D2" s="2" t="s">
        <v>84</v>
      </c>
      <c r="E2" s="2" t="s">
        <v>169</v>
      </c>
      <c r="F2" s="2" t="s">
        <v>170</v>
      </c>
      <c r="G2" s="2" t="s">
        <v>171</v>
      </c>
      <c r="H2" s="3" t="s">
        <v>172</v>
      </c>
      <c r="I2" s="3" t="s">
        <v>172</v>
      </c>
      <c r="J2" s="3"/>
      <c r="K2" s="3"/>
      <c r="L2" s="2" t="str">
        <f t="shared" ref="L2:L65" si="0">IF(OR(J2="",K2=""),"n/a",IF(AND(H2&amp;""=J2&amp;"",I2&amp;""=K2&amp;""),"match","differs"))</f>
        <v>n/a</v>
      </c>
      <c r="M2" s="3" t="s">
        <v>173</v>
      </c>
      <c r="N2" s="3" t="s">
        <v>174</v>
      </c>
      <c r="O2" s="3" t="s">
        <v>30</v>
      </c>
    </row>
    <row r="3" ht="25" spans="1:15">
      <c r="A3" s="2" t="s">
        <v>175</v>
      </c>
      <c r="B3" s="2" t="s">
        <v>35</v>
      </c>
      <c r="C3" s="2" t="s">
        <v>176</v>
      </c>
      <c r="D3" s="2" t="s">
        <v>177</v>
      </c>
      <c r="E3" s="2" t="s">
        <v>178</v>
      </c>
      <c r="F3" s="2" t="s">
        <v>170</v>
      </c>
      <c r="G3" s="2" t="s">
        <v>179</v>
      </c>
      <c r="H3" s="3" t="s">
        <v>180</v>
      </c>
      <c r="I3" s="3" t="s">
        <v>181</v>
      </c>
      <c r="J3" s="3" t="s">
        <v>180</v>
      </c>
      <c r="K3" s="3" t="s">
        <v>181</v>
      </c>
      <c r="L3" s="2" t="str">
        <f t="shared" si="0"/>
        <v>match</v>
      </c>
      <c r="M3" s="3" t="s">
        <v>173</v>
      </c>
      <c r="N3" s="3" t="s">
        <v>182</v>
      </c>
      <c r="O3" s="3" t="s">
        <v>30</v>
      </c>
    </row>
    <row r="4" spans="1:15">
      <c r="A4" s="2" t="s">
        <v>183</v>
      </c>
      <c r="B4" s="2" t="s">
        <v>35</v>
      </c>
      <c r="C4" s="2" t="s">
        <v>176</v>
      </c>
      <c r="D4" s="2" t="s">
        <v>184</v>
      </c>
      <c r="E4" s="2" t="s">
        <v>185</v>
      </c>
      <c r="F4" s="2" t="s">
        <v>170</v>
      </c>
      <c r="G4" s="2" t="s">
        <v>179</v>
      </c>
      <c r="H4" s="3">
        <v>3</v>
      </c>
      <c r="I4" s="3">
        <v>4</v>
      </c>
      <c r="J4" s="3">
        <v>3</v>
      </c>
      <c r="K4" s="3">
        <v>4</v>
      </c>
      <c r="L4" s="2" t="str">
        <f t="shared" si="0"/>
        <v>match</v>
      </c>
      <c r="M4" s="3" t="s">
        <v>173</v>
      </c>
      <c r="N4" s="3"/>
      <c r="O4" s="3" t="s">
        <v>30</v>
      </c>
    </row>
    <row r="5" ht="25" spans="1:15">
      <c r="A5" s="2" t="s">
        <v>186</v>
      </c>
      <c r="B5" s="2" t="s">
        <v>35</v>
      </c>
      <c r="C5" s="2" t="s">
        <v>130</v>
      </c>
      <c r="D5" s="2" t="s">
        <v>130</v>
      </c>
      <c r="E5" s="2" t="s">
        <v>187</v>
      </c>
      <c r="F5" s="2" t="s">
        <v>170</v>
      </c>
      <c r="G5" s="2" t="s">
        <v>188</v>
      </c>
      <c r="H5" s="3" t="s">
        <v>189</v>
      </c>
      <c r="I5" s="3" t="s">
        <v>189</v>
      </c>
      <c r="J5" s="3" t="s">
        <v>189</v>
      </c>
      <c r="K5" s="3" t="s">
        <v>189</v>
      </c>
      <c r="L5" s="2" t="str">
        <f t="shared" si="0"/>
        <v>match</v>
      </c>
      <c r="M5" s="3" t="s">
        <v>173</v>
      </c>
      <c r="N5" s="3"/>
      <c r="O5" s="3" t="s">
        <v>30</v>
      </c>
    </row>
    <row r="6" spans="1:15">
      <c r="A6" s="2" t="s">
        <v>190</v>
      </c>
      <c r="B6" s="2" t="s">
        <v>35</v>
      </c>
      <c r="C6" s="2" t="s">
        <v>130</v>
      </c>
      <c r="D6" s="2" t="s">
        <v>191</v>
      </c>
      <c r="E6" s="2" t="s">
        <v>192</v>
      </c>
      <c r="F6" s="2" t="s">
        <v>170</v>
      </c>
      <c r="G6" s="2" t="s">
        <v>193</v>
      </c>
      <c r="H6" s="3">
        <v>0.0001</v>
      </c>
      <c r="I6" s="3">
        <v>0.0001</v>
      </c>
      <c r="J6" s="3">
        <v>0.0001</v>
      </c>
      <c r="K6" s="3">
        <v>0.0001</v>
      </c>
      <c r="L6" s="2" t="str">
        <f t="shared" si="0"/>
        <v>match</v>
      </c>
      <c r="M6" s="3" t="s">
        <v>173</v>
      </c>
      <c r="N6" s="3"/>
      <c r="O6" s="3" t="s">
        <v>30</v>
      </c>
    </row>
    <row r="7" ht="37.5" spans="1:15">
      <c r="A7" s="2" t="s">
        <v>194</v>
      </c>
      <c r="B7" s="2" t="s">
        <v>35</v>
      </c>
      <c r="C7" s="2" t="s">
        <v>130</v>
      </c>
      <c r="D7" s="2" t="s">
        <v>195</v>
      </c>
      <c r="E7" s="2" t="s">
        <v>196</v>
      </c>
      <c r="F7" s="2" t="s">
        <v>170</v>
      </c>
      <c r="G7" s="2" t="s">
        <v>197</v>
      </c>
      <c r="H7" s="3" t="s">
        <v>198</v>
      </c>
      <c r="I7" s="3" t="s">
        <v>198</v>
      </c>
      <c r="J7" s="3" t="s">
        <v>199</v>
      </c>
      <c r="K7" s="3" t="s">
        <v>198</v>
      </c>
      <c r="L7" s="2" t="str">
        <f t="shared" si="0"/>
        <v>differs</v>
      </c>
      <c r="M7" s="3" t="s">
        <v>173</v>
      </c>
      <c r="N7" s="3" t="s">
        <v>200</v>
      </c>
      <c r="O7" s="3" t="s">
        <v>32</v>
      </c>
    </row>
    <row r="8" ht="25" spans="1:15">
      <c r="A8" s="2" t="s">
        <v>201</v>
      </c>
      <c r="B8" s="2" t="s">
        <v>35</v>
      </c>
      <c r="C8" s="2" t="s">
        <v>137</v>
      </c>
      <c r="D8" s="2" t="s">
        <v>202</v>
      </c>
      <c r="E8" s="2" t="s">
        <v>203</v>
      </c>
      <c r="F8" s="2" t="s">
        <v>170</v>
      </c>
      <c r="G8" s="2" t="s">
        <v>197</v>
      </c>
      <c r="H8" s="3" t="s">
        <v>204</v>
      </c>
      <c r="I8" s="3" t="s">
        <v>204</v>
      </c>
      <c r="J8" s="3" t="s">
        <v>204</v>
      </c>
      <c r="K8" s="3" t="s">
        <v>204</v>
      </c>
      <c r="L8" s="2" t="str">
        <f t="shared" si="0"/>
        <v>match</v>
      </c>
      <c r="M8" s="3" t="s">
        <v>173</v>
      </c>
      <c r="N8" s="3"/>
      <c r="O8" s="3" t="s">
        <v>30</v>
      </c>
    </row>
    <row r="9" spans="1:15">
      <c r="A9" s="2" t="s">
        <v>205</v>
      </c>
      <c r="B9" s="2" t="s">
        <v>35</v>
      </c>
      <c r="C9" s="2" t="s">
        <v>137</v>
      </c>
      <c r="D9" s="2" t="s">
        <v>206</v>
      </c>
      <c r="E9" s="2" t="s">
        <v>207</v>
      </c>
      <c r="F9" s="2" t="s">
        <v>170</v>
      </c>
      <c r="G9" s="2" t="s">
        <v>208</v>
      </c>
      <c r="H9" s="3">
        <v>5000</v>
      </c>
      <c r="I9" s="3">
        <v>8650</v>
      </c>
      <c r="J9" s="3">
        <v>5000</v>
      </c>
      <c r="K9" s="3">
        <v>8650</v>
      </c>
      <c r="L9" s="2" t="str">
        <f t="shared" si="0"/>
        <v>match</v>
      </c>
      <c r="M9" s="3" t="s">
        <v>173</v>
      </c>
      <c r="N9" s="3"/>
      <c r="O9" s="3" t="s">
        <v>30</v>
      </c>
    </row>
    <row r="10" spans="1:15">
      <c r="A10" s="2" t="s">
        <v>209</v>
      </c>
      <c r="B10" s="2" t="s">
        <v>35</v>
      </c>
      <c r="C10" s="2" t="s">
        <v>130</v>
      </c>
      <c r="D10" s="2" t="s">
        <v>146</v>
      </c>
      <c r="E10" s="2" t="s">
        <v>210</v>
      </c>
      <c r="F10" s="2" t="s">
        <v>170</v>
      </c>
      <c r="G10" s="2" t="s">
        <v>193</v>
      </c>
      <c r="H10" s="3">
        <v>2</v>
      </c>
      <c r="I10" s="3">
        <v>2</v>
      </c>
      <c r="J10" s="3">
        <v>2</v>
      </c>
      <c r="K10" s="3">
        <v>2</v>
      </c>
      <c r="L10" s="2" t="str">
        <f t="shared" si="0"/>
        <v>match</v>
      </c>
      <c r="M10" s="3" t="s">
        <v>173</v>
      </c>
      <c r="N10" s="3"/>
      <c r="O10" s="3" t="s">
        <v>30</v>
      </c>
    </row>
    <row r="11" ht="37.5" spans="1:15">
      <c r="A11" s="2" t="s">
        <v>211</v>
      </c>
      <c r="B11" s="2" t="s">
        <v>35</v>
      </c>
      <c r="C11" s="2" t="s">
        <v>107</v>
      </c>
      <c r="D11" s="2" t="s">
        <v>212</v>
      </c>
      <c r="E11" s="2" t="s">
        <v>213</v>
      </c>
      <c r="F11" s="2" t="s">
        <v>170</v>
      </c>
      <c r="G11" s="2" t="s">
        <v>179</v>
      </c>
      <c r="H11" s="3">
        <v>16</v>
      </c>
      <c r="I11" s="3">
        <v>8</v>
      </c>
      <c r="J11" s="3">
        <v>4</v>
      </c>
      <c r="K11" s="3">
        <v>1</v>
      </c>
      <c r="L11" s="2" t="str">
        <f t="shared" si="0"/>
        <v>differs</v>
      </c>
      <c r="M11" s="3" t="s">
        <v>173</v>
      </c>
      <c r="N11" s="3" t="s">
        <v>214</v>
      </c>
      <c r="O11" s="3" t="s">
        <v>32</v>
      </c>
    </row>
    <row r="12" spans="1:15">
      <c r="A12" s="2" t="s">
        <v>215</v>
      </c>
      <c r="B12" s="2" t="s">
        <v>35</v>
      </c>
      <c r="C12" s="2" t="s">
        <v>216</v>
      </c>
      <c r="D12" s="2" t="s">
        <v>217</v>
      </c>
      <c r="E12" s="2" t="s">
        <v>218</v>
      </c>
      <c r="F12" s="2" t="s">
        <v>170</v>
      </c>
      <c r="G12" s="2" t="s">
        <v>179</v>
      </c>
      <c r="H12" s="3" t="s">
        <v>219</v>
      </c>
      <c r="I12" s="3" t="s">
        <v>219</v>
      </c>
      <c r="J12" s="3" t="s">
        <v>219</v>
      </c>
      <c r="K12" s="3" t="s">
        <v>219</v>
      </c>
      <c r="L12" s="2" t="str">
        <f t="shared" si="0"/>
        <v>match</v>
      </c>
      <c r="M12" s="3" t="s">
        <v>173</v>
      </c>
      <c r="N12" s="3" t="s">
        <v>220</v>
      </c>
      <c r="O12" s="3" t="s">
        <v>30</v>
      </c>
    </row>
    <row r="13" spans="1:15">
      <c r="A13" s="2" t="s">
        <v>221</v>
      </c>
      <c r="B13" s="2" t="s">
        <v>35</v>
      </c>
      <c r="C13" s="2" t="s">
        <v>114</v>
      </c>
      <c r="D13" s="2" t="s">
        <v>222</v>
      </c>
      <c r="E13" s="2" t="s">
        <v>223</v>
      </c>
      <c r="F13" s="2" t="s">
        <v>170</v>
      </c>
      <c r="G13" s="2" t="s">
        <v>118</v>
      </c>
      <c r="H13" s="3">
        <v>150</v>
      </c>
      <c r="I13" s="3">
        <v>150</v>
      </c>
      <c r="J13" s="3">
        <v>150</v>
      </c>
      <c r="K13" s="3">
        <v>150</v>
      </c>
      <c r="L13" s="2" t="str">
        <f t="shared" si="0"/>
        <v>match</v>
      </c>
      <c r="M13" s="3" t="s">
        <v>173</v>
      </c>
      <c r="N13" s="3" t="s">
        <v>224</v>
      </c>
      <c r="O13" s="3" t="s">
        <v>30</v>
      </c>
    </row>
    <row r="14" spans="1:15">
      <c r="A14" s="2" t="s">
        <v>225</v>
      </c>
      <c r="B14" s="2" t="s">
        <v>35</v>
      </c>
      <c r="C14" s="2" t="s">
        <v>114</v>
      </c>
      <c r="D14" s="2" t="s">
        <v>120</v>
      </c>
      <c r="E14" s="2" t="s">
        <v>226</v>
      </c>
      <c r="F14" s="2" t="s">
        <v>170</v>
      </c>
      <c r="G14" s="2" t="s">
        <v>227</v>
      </c>
      <c r="H14" s="3" t="s">
        <v>228</v>
      </c>
      <c r="I14" s="3" t="s">
        <v>229</v>
      </c>
      <c r="J14" s="3" t="s">
        <v>228</v>
      </c>
      <c r="K14" s="3" t="s">
        <v>229</v>
      </c>
      <c r="L14" s="2" t="str">
        <f t="shared" si="0"/>
        <v>match</v>
      </c>
      <c r="M14" s="3" t="s">
        <v>173</v>
      </c>
      <c r="N14" s="3" t="s">
        <v>230</v>
      </c>
      <c r="O14" s="3" t="s">
        <v>30</v>
      </c>
    </row>
    <row r="15" ht="37.5" spans="1:15">
      <c r="A15" s="2" t="s">
        <v>231</v>
      </c>
      <c r="B15" s="2" t="s">
        <v>36</v>
      </c>
      <c r="C15" s="2" t="s">
        <v>168</v>
      </c>
      <c r="D15" s="2" t="s">
        <v>84</v>
      </c>
      <c r="E15" s="2" t="s">
        <v>232</v>
      </c>
      <c r="F15" s="2" t="s">
        <v>233</v>
      </c>
      <c r="G15" s="2" t="s">
        <v>234</v>
      </c>
      <c r="H15" s="3" t="s">
        <v>235</v>
      </c>
      <c r="I15" s="3" t="s">
        <v>235</v>
      </c>
      <c r="J15" s="3" t="s">
        <v>235</v>
      </c>
      <c r="K15" s="3" t="s">
        <v>235</v>
      </c>
      <c r="L15" s="2" t="str">
        <f t="shared" si="0"/>
        <v>match</v>
      </c>
      <c r="M15" s="3" t="s">
        <v>236</v>
      </c>
      <c r="N15" s="3" t="s">
        <v>237</v>
      </c>
      <c r="O15" s="3" t="s">
        <v>30</v>
      </c>
    </row>
    <row r="16" spans="1:15">
      <c r="A16" s="2" t="s">
        <v>238</v>
      </c>
      <c r="B16" s="2" t="s">
        <v>36</v>
      </c>
      <c r="C16" s="2" t="s">
        <v>176</v>
      </c>
      <c r="D16" s="2" t="s">
        <v>239</v>
      </c>
      <c r="E16" s="2" t="s">
        <v>240</v>
      </c>
      <c r="F16" s="2" t="s">
        <v>241</v>
      </c>
      <c r="G16" s="2" t="s">
        <v>242</v>
      </c>
      <c r="H16" s="3" t="s">
        <v>241</v>
      </c>
      <c r="I16" s="3" t="s">
        <v>241</v>
      </c>
      <c r="J16" s="3" t="s">
        <v>241</v>
      </c>
      <c r="K16" s="3" t="s">
        <v>241</v>
      </c>
      <c r="L16" s="2" t="str">
        <f t="shared" si="0"/>
        <v>match</v>
      </c>
      <c r="M16" s="3" t="s">
        <v>243</v>
      </c>
      <c r="N16" s="3"/>
      <c r="O16" s="3" t="s">
        <v>30</v>
      </c>
    </row>
    <row r="17" ht="25" spans="1:15">
      <c r="A17" s="2" t="s">
        <v>244</v>
      </c>
      <c r="B17" s="2" t="s">
        <v>36</v>
      </c>
      <c r="C17" s="2" t="s">
        <v>176</v>
      </c>
      <c r="D17" s="2" t="s">
        <v>245</v>
      </c>
      <c r="E17" s="2" t="s">
        <v>246</v>
      </c>
      <c r="F17" s="2" t="s">
        <v>247</v>
      </c>
      <c r="G17" s="2" t="s">
        <v>248</v>
      </c>
      <c r="H17" s="3" t="s">
        <v>247</v>
      </c>
      <c r="I17" s="3" t="s">
        <v>247</v>
      </c>
      <c r="J17" s="3" t="s">
        <v>247</v>
      </c>
      <c r="K17" s="3" t="s">
        <v>247</v>
      </c>
      <c r="L17" s="2" t="str">
        <f t="shared" si="0"/>
        <v>match</v>
      </c>
      <c r="M17" s="3" t="s">
        <v>243</v>
      </c>
      <c r="N17" s="3"/>
      <c r="O17" s="3" t="s">
        <v>30</v>
      </c>
    </row>
    <row r="18" ht="25" spans="1:15">
      <c r="A18" s="2" t="s">
        <v>249</v>
      </c>
      <c r="B18" s="2" t="s">
        <v>36</v>
      </c>
      <c r="C18" s="2" t="s">
        <v>176</v>
      </c>
      <c r="D18" s="2" t="s">
        <v>250</v>
      </c>
      <c r="E18" s="2" t="s">
        <v>251</v>
      </c>
      <c r="F18" s="2">
        <v>320</v>
      </c>
      <c r="G18" s="2" t="s">
        <v>252</v>
      </c>
      <c r="H18" s="3">
        <v>96</v>
      </c>
      <c r="I18" s="3">
        <v>128</v>
      </c>
      <c r="J18" s="3">
        <v>96</v>
      </c>
      <c r="K18" s="3">
        <v>128</v>
      </c>
      <c r="L18" s="2" t="str">
        <f t="shared" si="0"/>
        <v>match</v>
      </c>
      <c r="M18" s="3" t="s">
        <v>236</v>
      </c>
      <c r="N18" s="3" t="s">
        <v>253</v>
      </c>
      <c r="O18" s="3" t="s">
        <v>30</v>
      </c>
    </row>
    <row r="19" spans="1:15">
      <c r="A19" s="2" t="s">
        <v>254</v>
      </c>
      <c r="B19" s="2" t="s">
        <v>36</v>
      </c>
      <c r="C19" s="2" t="s">
        <v>216</v>
      </c>
      <c r="D19" s="2" t="s">
        <v>255</v>
      </c>
      <c r="E19" s="2" t="s">
        <v>256</v>
      </c>
      <c r="F19" s="2">
        <v>0.0005</v>
      </c>
      <c r="G19" s="2" t="s">
        <v>257</v>
      </c>
      <c r="H19" s="3">
        <v>0.0005</v>
      </c>
      <c r="I19" s="3">
        <v>0.0005</v>
      </c>
      <c r="J19" s="3">
        <v>0.0005</v>
      </c>
      <c r="K19" s="3">
        <v>0.0005</v>
      </c>
      <c r="L19" s="2" t="str">
        <f t="shared" si="0"/>
        <v>match</v>
      </c>
      <c r="M19" s="3" t="s">
        <v>243</v>
      </c>
      <c r="N19" s="3"/>
      <c r="O19" s="3" t="s">
        <v>30</v>
      </c>
    </row>
    <row r="20" spans="1:15">
      <c r="A20" s="2" t="s">
        <v>258</v>
      </c>
      <c r="B20" s="2" t="s">
        <v>36</v>
      </c>
      <c r="C20" s="2" t="s">
        <v>216</v>
      </c>
      <c r="D20" s="2" t="s">
        <v>259</v>
      </c>
      <c r="E20" s="2" t="s">
        <v>260</v>
      </c>
      <c r="F20" s="2">
        <v>256</v>
      </c>
      <c r="G20" s="2" t="s">
        <v>261</v>
      </c>
      <c r="H20" s="3">
        <v>256</v>
      </c>
      <c r="I20" s="3">
        <v>256</v>
      </c>
      <c r="J20" s="3">
        <v>256</v>
      </c>
      <c r="K20" s="3">
        <v>256</v>
      </c>
      <c r="L20" s="2" t="str">
        <f t="shared" si="0"/>
        <v>match</v>
      </c>
      <c r="M20" s="3" t="s">
        <v>243</v>
      </c>
      <c r="N20" s="3"/>
      <c r="O20" s="3" t="s">
        <v>30</v>
      </c>
    </row>
    <row r="21" spans="1:15">
      <c r="A21" s="2" t="s">
        <v>262</v>
      </c>
      <c r="B21" s="2" t="s">
        <v>36</v>
      </c>
      <c r="C21" s="2" t="s">
        <v>216</v>
      </c>
      <c r="D21" s="2" t="s">
        <v>263</v>
      </c>
      <c r="E21" s="2" t="s">
        <v>264</v>
      </c>
      <c r="F21" s="2">
        <v>0.999</v>
      </c>
      <c r="G21" s="2" t="s">
        <v>265</v>
      </c>
      <c r="H21" s="3">
        <v>0.999</v>
      </c>
      <c r="I21" s="3">
        <v>0.999</v>
      </c>
      <c r="J21" s="3">
        <v>0.999</v>
      </c>
      <c r="K21" s="3">
        <v>0.999</v>
      </c>
      <c r="L21" s="2" t="str">
        <f t="shared" si="0"/>
        <v>match</v>
      </c>
      <c r="M21" s="3" t="s">
        <v>243</v>
      </c>
      <c r="N21" s="3"/>
      <c r="O21" s="3" t="s">
        <v>30</v>
      </c>
    </row>
    <row r="22" spans="1:15">
      <c r="A22" s="2" t="s">
        <v>266</v>
      </c>
      <c r="B22" s="2" t="s">
        <v>36</v>
      </c>
      <c r="C22" s="2" t="s">
        <v>216</v>
      </c>
      <c r="D22" s="2" t="s">
        <v>267</v>
      </c>
      <c r="E22" s="2" t="s">
        <v>268</v>
      </c>
      <c r="F22" s="2">
        <v>0.07</v>
      </c>
      <c r="G22" s="2" t="s">
        <v>269</v>
      </c>
      <c r="H22" s="3">
        <v>0.07</v>
      </c>
      <c r="I22" s="3">
        <v>0.07</v>
      </c>
      <c r="J22" s="3">
        <v>0.07</v>
      </c>
      <c r="K22" s="3">
        <v>0.07</v>
      </c>
      <c r="L22" s="2" t="str">
        <f t="shared" si="0"/>
        <v>match</v>
      </c>
      <c r="M22" s="3" t="s">
        <v>243</v>
      </c>
      <c r="N22" s="3"/>
      <c r="O22" s="3" t="s">
        <v>30</v>
      </c>
    </row>
    <row r="23" ht="25" spans="1:15">
      <c r="A23" s="2" t="s">
        <v>270</v>
      </c>
      <c r="B23" s="2" t="s">
        <v>36</v>
      </c>
      <c r="C23" s="2" t="s">
        <v>271</v>
      </c>
      <c r="D23" s="2" t="s">
        <v>272</v>
      </c>
      <c r="E23" s="2" t="s">
        <v>273</v>
      </c>
      <c r="F23" s="2" t="s">
        <v>274</v>
      </c>
      <c r="G23" s="2" t="s">
        <v>275</v>
      </c>
      <c r="H23" s="3" t="s">
        <v>274</v>
      </c>
      <c r="I23" s="3" t="s">
        <v>274</v>
      </c>
      <c r="J23" s="3" t="s">
        <v>274</v>
      </c>
      <c r="K23" s="3" t="s">
        <v>274</v>
      </c>
      <c r="L23" s="2" t="str">
        <f t="shared" si="0"/>
        <v>match</v>
      </c>
      <c r="M23" s="3" t="s">
        <v>243</v>
      </c>
      <c r="N23" s="3"/>
      <c r="O23" s="3" t="s">
        <v>30</v>
      </c>
    </row>
    <row r="24" ht="25" spans="1:15">
      <c r="A24" s="2" t="s">
        <v>276</v>
      </c>
      <c r="B24" s="2" t="s">
        <v>36</v>
      </c>
      <c r="C24" s="2" t="s">
        <v>277</v>
      </c>
      <c r="D24" s="2" t="s">
        <v>278</v>
      </c>
      <c r="E24" s="2" t="s">
        <v>279</v>
      </c>
      <c r="F24" s="2" t="s">
        <v>280</v>
      </c>
      <c r="G24" s="2" t="s">
        <v>281</v>
      </c>
      <c r="H24" s="3" t="s">
        <v>282</v>
      </c>
      <c r="I24" s="3" t="s">
        <v>282</v>
      </c>
      <c r="J24" s="3"/>
      <c r="K24" s="3"/>
      <c r="L24" s="2" t="str">
        <f t="shared" si="0"/>
        <v>n/a</v>
      </c>
      <c r="M24" s="3" t="s">
        <v>243</v>
      </c>
      <c r="N24" s="3"/>
      <c r="O24" s="3" t="s">
        <v>30</v>
      </c>
    </row>
    <row r="25" ht="25" spans="1:15">
      <c r="A25" s="2" t="s">
        <v>283</v>
      </c>
      <c r="B25" s="2" t="s">
        <v>36</v>
      </c>
      <c r="C25" s="2" t="s">
        <v>277</v>
      </c>
      <c r="D25" s="2" t="s">
        <v>284</v>
      </c>
      <c r="E25" s="2" t="s">
        <v>285</v>
      </c>
      <c r="F25" s="2" t="s">
        <v>286</v>
      </c>
      <c r="G25" s="2"/>
      <c r="H25" s="3" t="s">
        <v>287</v>
      </c>
      <c r="I25" s="3" t="s">
        <v>287</v>
      </c>
      <c r="J25" s="3"/>
      <c r="K25" s="3"/>
      <c r="L25" s="2" t="str">
        <f t="shared" si="0"/>
        <v>n/a</v>
      </c>
      <c r="M25" s="3" t="s">
        <v>236</v>
      </c>
      <c r="N25" s="3" t="s">
        <v>288</v>
      </c>
      <c r="O25" s="3" t="s">
        <v>32</v>
      </c>
    </row>
    <row r="26" ht="25" spans="1:15">
      <c r="A26" s="2" t="s">
        <v>289</v>
      </c>
      <c r="B26" s="2" t="s">
        <v>36</v>
      </c>
      <c r="C26" s="2" t="s">
        <v>130</v>
      </c>
      <c r="D26" s="2" t="s">
        <v>130</v>
      </c>
      <c r="E26" s="2" t="s">
        <v>290</v>
      </c>
      <c r="F26" s="2" t="s">
        <v>291</v>
      </c>
      <c r="G26" s="2" t="s">
        <v>292</v>
      </c>
      <c r="H26" s="3" t="s">
        <v>293</v>
      </c>
      <c r="I26" s="3" t="s">
        <v>293</v>
      </c>
      <c r="J26" s="3" t="s">
        <v>293</v>
      </c>
      <c r="K26" s="3" t="s">
        <v>293</v>
      </c>
      <c r="L26" s="2" t="str">
        <f t="shared" si="0"/>
        <v>match</v>
      </c>
      <c r="M26" s="3" t="s">
        <v>243</v>
      </c>
      <c r="N26" s="3"/>
      <c r="O26" s="3" t="s">
        <v>30</v>
      </c>
    </row>
    <row r="27" spans="1:15">
      <c r="A27" s="2" t="s">
        <v>294</v>
      </c>
      <c r="B27" s="2" t="s">
        <v>36</v>
      </c>
      <c r="C27" s="2" t="s">
        <v>130</v>
      </c>
      <c r="D27" s="2" t="s">
        <v>295</v>
      </c>
      <c r="E27" s="2" t="s">
        <v>196</v>
      </c>
      <c r="F27" s="2">
        <v>0.001</v>
      </c>
      <c r="G27" s="2" t="s">
        <v>296</v>
      </c>
      <c r="H27" s="3">
        <v>0.001</v>
      </c>
      <c r="I27" s="3">
        <v>0.001</v>
      </c>
      <c r="J27" s="3">
        <v>0.001</v>
      </c>
      <c r="K27" s="3">
        <v>0.001</v>
      </c>
      <c r="L27" s="2" t="str">
        <f t="shared" si="0"/>
        <v>match</v>
      </c>
      <c r="M27" s="3" t="s">
        <v>243</v>
      </c>
      <c r="N27" s="3"/>
      <c r="O27" s="3" t="s">
        <v>30</v>
      </c>
    </row>
    <row r="28" spans="1:15">
      <c r="A28" s="2" t="s">
        <v>297</v>
      </c>
      <c r="B28" s="2" t="s">
        <v>36</v>
      </c>
      <c r="C28" s="2" t="s">
        <v>130</v>
      </c>
      <c r="D28" s="2" t="s">
        <v>191</v>
      </c>
      <c r="E28" s="2" t="s">
        <v>192</v>
      </c>
      <c r="F28" s="2">
        <v>0.0001</v>
      </c>
      <c r="G28" s="2" t="s">
        <v>298</v>
      </c>
      <c r="H28" s="3">
        <v>0.0001</v>
      </c>
      <c r="I28" s="3">
        <v>0.0001</v>
      </c>
      <c r="J28" s="3">
        <v>0.0001</v>
      </c>
      <c r="K28" s="3">
        <v>0.0001</v>
      </c>
      <c r="L28" s="2" t="str">
        <f t="shared" si="0"/>
        <v>match</v>
      </c>
      <c r="M28" s="3" t="s">
        <v>243</v>
      </c>
      <c r="N28" s="3"/>
      <c r="O28" s="3" t="s">
        <v>30</v>
      </c>
    </row>
    <row r="29" ht="25" spans="1:15">
      <c r="A29" s="2" t="s">
        <v>299</v>
      </c>
      <c r="B29" s="2" t="s">
        <v>36</v>
      </c>
      <c r="C29" s="2" t="s">
        <v>137</v>
      </c>
      <c r="D29" s="2" t="s">
        <v>300</v>
      </c>
      <c r="E29" s="2" t="s">
        <v>203</v>
      </c>
      <c r="F29" s="2" t="s">
        <v>301</v>
      </c>
      <c r="G29" s="2" t="s">
        <v>302</v>
      </c>
      <c r="H29" s="3" t="s">
        <v>303</v>
      </c>
      <c r="I29" s="3" t="s">
        <v>303</v>
      </c>
      <c r="J29" s="3" t="s">
        <v>303</v>
      </c>
      <c r="K29" s="3" t="s">
        <v>303</v>
      </c>
      <c r="L29" s="2" t="str">
        <f t="shared" si="0"/>
        <v>match</v>
      </c>
      <c r="M29" s="3" t="s">
        <v>236</v>
      </c>
      <c r="N29" s="3" t="s">
        <v>304</v>
      </c>
      <c r="O29" s="3" t="s">
        <v>30</v>
      </c>
    </row>
    <row r="30" spans="1:15">
      <c r="A30" s="2" t="s">
        <v>305</v>
      </c>
      <c r="B30" s="2" t="s">
        <v>36</v>
      </c>
      <c r="C30" s="2" t="s">
        <v>137</v>
      </c>
      <c r="D30" s="2" t="s">
        <v>206</v>
      </c>
      <c r="E30" s="2" t="s">
        <v>207</v>
      </c>
      <c r="F30" s="2" t="s">
        <v>143</v>
      </c>
      <c r="G30" s="2" t="s">
        <v>281</v>
      </c>
      <c r="H30" s="3">
        <v>0</v>
      </c>
      <c r="I30" s="3">
        <v>0</v>
      </c>
      <c r="J30" s="3">
        <v>0</v>
      </c>
      <c r="K30" s="3">
        <v>0</v>
      </c>
      <c r="L30" s="2" t="str">
        <f t="shared" si="0"/>
        <v>match</v>
      </c>
      <c r="M30" s="3" t="s">
        <v>243</v>
      </c>
      <c r="N30" s="3"/>
      <c r="O30" s="3" t="s">
        <v>30</v>
      </c>
    </row>
    <row r="31" ht="25" spans="1:15">
      <c r="A31" s="2" t="s">
        <v>306</v>
      </c>
      <c r="B31" s="2" t="s">
        <v>36</v>
      </c>
      <c r="C31" s="2" t="s">
        <v>130</v>
      </c>
      <c r="D31" s="2" t="s">
        <v>146</v>
      </c>
      <c r="E31" s="2" t="s">
        <v>210</v>
      </c>
      <c r="F31" s="2" t="s">
        <v>143</v>
      </c>
      <c r="G31" s="2" t="s">
        <v>307</v>
      </c>
      <c r="H31" s="3" t="s">
        <v>308</v>
      </c>
      <c r="I31" s="3" t="s">
        <v>308</v>
      </c>
      <c r="J31" s="3">
        <v>1</v>
      </c>
      <c r="K31" s="3">
        <v>1</v>
      </c>
      <c r="L31" s="2" t="str">
        <f t="shared" si="0"/>
        <v>differs</v>
      </c>
      <c r="M31" s="3" t="s">
        <v>243</v>
      </c>
      <c r="N31" s="3" t="s">
        <v>309</v>
      </c>
      <c r="O31" s="3" t="s">
        <v>33</v>
      </c>
    </row>
    <row r="32" spans="1:15">
      <c r="A32" s="2" t="s">
        <v>310</v>
      </c>
      <c r="B32" s="2" t="s">
        <v>36</v>
      </c>
      <c r="C32" s="2" t="s">
        <v>107</v>
      </c>
      <c r="D32" s="2" t="s">
        <v>212</v>
      </c>
      <c r="E32" s="2" t="s">
        <v>213</v>
      </c>
      <c r="F32" s="2" t="s">
        <v>311</v>
      </c>
      <c r="G32" s="2" t="s">
        <v>312</v>
      </c>
      <c r="H32" s="3">
        <v>16</v>
      </c>
      <c r="I32" s="3">
        <v>8</v>
      </c>
      <c r="J32" s="3">
        <v>4</v>
      </c>
      <c r="K32" s="3">
        <v>128</v>
      </c>
      <c r="L32" s="2" t="str">
        <f t="shared" si="0"/>
        <v>differs</v>
      </c>
      <c r="M32" s="3" t="s">
        <v>236</v>
      </c>
      <c r="N32" s="3" t="s">
        <v>313</v>
      </c>
      <c r="O32" s="3" t="s">
        <v>33</v>
      </c>
    </row>
    <row r="33" ht="25" spans="1:15">
      <c r="A33" s="2" t="s">
        <v>314</v>
      </c>
      <c r="B33" s="2" t="s">
        <v>36</v>
      </c>
      <c r="C33" s="2" t="s">
        <v>114</v>
      </c>
      <c r="D33" s="2" t="s">
        <v>315</v>
      </c>
      <c r="E33" s="2" t="s">
        <v>223</v>
      </c>
      <c r="F33" s="2" t="s">
        <v>316</v>
      </c>
      <c r="G33" s="2" t="s">
        <v>317</v>
      </c>
      <c r="H33" s="3">
        <v>150</v>
      </c>
      <c r="I33" s="3">
        <v>150</v>
      </c>
      <c r="J33" s="3">
        <v>150</v>
      </c>
      <c r="K33" s="3">
        <v>150</v>
      </c>
      <c r="L33" s="2" t="str">
        <f t="shared" si="0"/>
        <v>match</v>
      </c>
      <c r="M33" s="3" t="s">
        <v>236</v>
      </c>
      <c r="N33" s="3" t="s">
        <v>224</v>
      </c>
      <c r="O33" s="3" t="s">
        <v>30</v>
      </c>
    </row>
    <row r="34" spans="1:15">
      <c r="A34" s="2" t="s">
        <v>318</v>
      </c>
      <c r="B34" s="2" t="s">
        <v>36</v>
      </c>
      <c r="C34" s="2" t="s">
        <v>114</v>
      </c>
      <c r="D34" s="2" t="s">
        <v>319</v>
      </c>
      <c r="E34" s="2" t="s">
        <v>320</v>
      </c>
      <c r="F34" s="2" t="s">
        <v>173</v>
      </c>
      <c r="G34" s="2"/>
      <c r="H34" s="3">
        <v>28000</v>
      </c>
      <c r="I34" s="3">
        <v>41568</v>
      </c>
      <c r="J34" s="3">
        <v>10000</v>
      </c>
      <c r="K34" s="3">
        <v>10000</v>
      </c>
      <c r="L34" s="2" t="str">
        <f t="shared" si="0"/>
        <v>differs</v>
      </c>
      <c r="M34" s="3" t="s">
        <v>236</v>
      </c>
      <c r="N34" s="3" t="s">
        <v>321</v>
      </c>
      <c r="O34" s="3" t="s">
        <v>33</v>
      </c>
    </row>
    <row r="35" ht="25" spans="1:15">
      <c r="A35" s="2" t="s">
        <v>322</v>
      </c>
      <c r="B35" s="2" t="s">
        <v>37</v>
      </c>
      <c r="C35" s="2" t="s">
        <v>168</v>
      </c>
      <c r="D35" s="2" t="s">
        <v>84</v>
      </c>
      <c r="E35" s="2" t="s">
        <v>323</v>
      </c>
      <c r="F35" s="2" t="s">
        <v>324</v>
      </c>
      <c r="G35" s="2" t="s">
        <v>325</v>
      </c>
      <c r="H35" s="3" t="s">
        <v>326</v>
      </c>
      <c r="I35" s="3" t="s">
        <v>326</v>
      </c>
      <c r="J35" s="3" t="s">
        <v>326</v>
      </c>
      <c r="K35" s="3" t="s">
        <v>326</v>
      </c>
      <c r="L35" s="2" t="str">
        <f t="shared" si="0"/>
        <v>match</v>
      </c>
      <c r="M35" s="3" t="s">
        <v>236</v>
      </c>
      <c r="N35" s="3" t="s">
        <v>327</v>
      </c>
      <c r="O35" s="3" t="s">
        <v>30</v>
      </c>
    </row>
    <row r="36" ht="25" spans="1:15">
      <c r="A36" s="2" t="s">
        <v>328</v>
      </c>
      <c r="B36" s="2" t="s">
        <v>37</v>
      </c>
      <c r="C36" s="2" t="s">
        <v>168</v>
      </c>
      <c r="D36" s="2" t="s">
        <v>329</v>
      </c>
      <c r="E36" s="2" t="s">
        <v>330</v>
      </c>
      <c r="F36" s="2" t="s">
        <v>331</v>
      </c>
      <c r="G36" s="2" t="s">
        <v>332</v>
      </c>
      <c r="H36" s="3" t="s">
        <v>333</v>
      </c>
      <c r="I36" s="3" t="s">
        <v>333</v>
      </c>
      <c r="J36" s="3"/>
      <c r="K36" s="3"/>
      <c r="L36" s="2" t="str">
        <f t="shared" si="0"/>
        <v>n/a</v>
      </c>
      <c r="M36" s="3" t="s">
        <v>236</v>
      </c>
      <c r="N36" s="3" t="s">
        <v>334</v>
      </c>
      <c r="O36" s="3" t="s">
        <v>30</v>
      </c>
    </row>
    <row r="37" ht="37.5" spans="1:15">
      <c r="A37" s="2" t="s">
        <v>335</v>
      </c>
      <c r="B37" s="2" t="s">
        <v>37</v>
      </c>
      <c r="C37" s="2" t="s">
        <v>176</v>
      </c>
      <c r="D37" s="2" t="s">
        <v>336</v>
      </c>
      <c r="E37" s="2" t="s">
        <v>337</v>
      </c>
      <c r="F37" s="2" t="s">
        <v>338</v>
      </c>
      <c r="G37" s="2" t="s">
        <v>339</v>
      </c>
      <c r="H37" s="3" t="s">
        <v>340</v>
      </c>
      <c r="I37" s="3" t="s">
        <v>340</v>
      </c>
      <c r="J37" s="3" t="s">
        <v>340</v>
      </c>
      <c r="K37" s="3" t="s">
        <v>340</v>
      </c>
      <c r="L37" s="2" t="str">
        <f t="shared" si="0"/>
        <v>match</v>
      </c>
      <c r="M37" s="3" t="s">
        <v>243</v>
      </c>
      <c r="N37" s="3"/>
      <c r="O37" s="3" t="s">
        <v>30</v>
      </c>
    </row>
    <row r="38" spans="1:15">
      <c r="A38" s="2" t="s">
        <v>341</v>
      </c>
      <c r="B38" s="2" t="s">
        <v>37</v>
      </c>
      <c r="C38" s="2" t="s">
        <v>176</v>
      </c>
      <c r="D38" s="2" t="s">
        <v>342</v>
      </c>
      <c r="E38" s="2" t="s">
        <v>343</v>
      </c>
      <c r="F38" s="2">
        <v>256</v>
      </c>
      <c r="G38" s="2" t="s">
        <v>344</v>
      </c>
      <c r="H38" s="3">
        <v>256</v>
      </c>
      <c r="I38" s="3">
        <v>256</v>
      </c>
      <c r="J38" s="3">
        <v>256</v>
      </c>
      <c r="K38" s="3">
        <v>256</v>
      </c>
      <c r="L38" s="2" t="str">
        <f t="shared" si="0"/>
        <v>match</v>
      </c>
      <c r="M38" s="3" t="s">
        <v>243</v>
      </c>
      <c r="N38" s="3"/>
      <c r="O38" s="3" t="s">
        <v>30</v>
      </c>
    </row>
    <row r="39" spans="1:15">
      <c r="A39" s="2" t="s">
        <v>345</v>
      </c>
      <c r="B39" s="2" t="s">
        <v>37</v>
      </c>
      <c r="C39" s="2" t="s">
        <v>176</v>
      </c>
      <c r="D39" s="2" t="s">
        <v>346</v>
      </c>
      <c r="E39" s="2" t="s">
        <v>347</v>
      </c>
      <c r="F39" s="2">
        <v>128</v>
      </c>
      <c r="G39" s="2" t="s">
        <v>348</v>
      </c>
      <c r="H39" s="3">
        <v>48</v>
      </c>
      <c r="I39" s="3">
        <v>64</v>
      </c>
      <c r="J39" s="3">
        <v>48</v>
      </c>
      <c r="K39" s="3">
        <v>48</v>
      </c>
      <c r="L39" s="2" t="str">
        <f t="shared" si="0"/>
        <v>differs</v>
      </c>
      <c r="M39" s="3" t="s">
        <v>236</v>
      </c>
      <c r="N39" s="3" t="s">
        <v>349</v>
      </c>
      <c r="O39" s="3" t="s">
        <v>33</v>
      </c>
    </row>
    <row r="40" spans="1:15">
      <c r="A40" s="2" t="s">
        <v>350</v>
      </c>
      <c r="B40" s="2" t="s">
        <v>37</v>
      </c>
      <c r="C40" s="2" t="s">
        <v>216</v>
      </c>
      <c r="D40" s="2" t="s">
        <v>351</v>
      </c>
      <c r="E40" s="2" t="s">
        <v>352</v>
      </c>
      <c r="F40" s="2">
        <v>0.2</v>
      </c>
      <c r="G40" s="2" t="s">
        <v>353</v>
      </c>
      <c r="H40" s="3">
        <v>0.2</v>
      </c>
      <c r="I40" s="3">
        <v>0.2</v>
      </c>
      <c r="J40" s="3">
        <v>0.2</v>
      </c>
      <c r="K40" s="3">
        <v>0.2</v>
      </c>
      <c r="L40" s="2" t="str">
        <f t="shared" si="0"/>
        <v>match</v>
      </c>
      <c r="M40" s="3" t="s">
        <v>243</v>
      </c>
      <c r="N40" s="3"/>
      <c r="O40" s="3" t="s">
        <v>30</v>
      </c>
    </row>
    <row r="41" spans="1:15">
      <c r="A41" s="2" t="s">
        <v>354</v>
      </c>
      <c r="B41" s="2" t="s">
        <v>37</v>
      </c>
      <c r="C41" s="2" t="s">
        <v>216</v>
      </c>
      <c r="D41" s="2" t="s">
        <v>355</v>
      </c>
      <c r="E41" s="2" t="s">
        <v>356</v>
      </c>
      <c r="F41" s="2" t="s">
        <v>357</v>
      </c>
      <c r="G41" s="2" t="s">
        <v>358</v>
      </c>
      <c r="H41" s="3" t="s">
        <v>357</v>
      </c>
      <c r="I41" s="3" t="s">
        <v>357</v>
      </c>
      <c r="J41" s="3" t="s">
        <v>357</v>
      </c>
      <c r="K41" s="3" t="s">
        <v>357</v>
      </c>
      <c r="L41" s="2" t="str">
        <f t="shared" si="0"/>
        <v>match</v>
      </c>
      <c r="M41" s="3" t="s">
        <v>243</v>
      </c>
      <c r="N41" s="3"/>
      <c r="O41" s="3" t="s">
        <v>30</v>
      </c>
    </row>
    <row r="42" spans="1:15">
      <c r="A42" s="2" t="s">
        <v>359</v>
      </c>
      <c r="B42" s="2" t="s">
        <v>37</v>
      </c>
      <c r="C42" s="2" t="s">
        <v>216</v>
      </c>
      <c r="D42" s="2" t="s">
        <v>360</v>
      </c>
      <c r="E42" s="2" t="s">
        <v>361</v>
      </c>
      <c r="F42" s="2">
        <v>0.2</v>
      </c>
      <c r="G42" s="2" t="s">
        <v>362</v>
      </c>
      <c r="H42" s="3">
        <v>0.2</v>
      </c>
      <c r="I42" s="3">
        <v>0.2</v>
      </c>
      <c r="J42" s="3">
        <v>0.2</v>
      </c>
      <c r="K42" s="3">
        <v>0.2</v>
      </c>
      <c r="L42" s="2" t="str">
        <f t="shared" si="0"/>
        <v>match</v>
      </c>
      <c r="M42" s="3" t="s">
        <v>243</v>
      </c>
      <c r="N42" s="3"/>
      <c r="O42" s="3" t="s">
        <v>30</v>
      </c>
    </row>
    <row r="43" spans="1:15">
      <c r="A43" s="2" t="s">
        <v>363</v>
      </c>
      <c r="B43" s="2" t="s">
        <v>37</v>
      </c>
      <c r="C43" s="2" t="s">
        <v>271</v>
      </c>
      <c r="D43" s="2" t="s">
        <v>364</v>
      </c>
      <c r="E43" s="2" t="s">
        <v>365</v>
      </c>
      <c r="F43" s="2">
        <v>2</v>
      </c>
      <c r="G43" s="2" t="s">
        <v>366</v>
      </c>
      <c r="H43" s="3">
        <v>2</v>
      </c>
      <c r="I43" s="3">
        <v>2</v>
      </c>
      <c r="J43" s="3">
        <v>2</v>
      </c>
      <c r="K43" s="3">
        <v>2</v>
      </c>
      <c r="L43" s="2" t="str">
        <f t="shared" si="0"/>
        <v>match</v>
      </c>
      <c r="M43" s="3" t="s">
        <v>243</v>
      </c>
      <c r="N43" s="3"/>
      <c r="O43" s="3" t="s">
        <v>30</v>
      </c>
    </row>
    <row r="44" spans="1:15">
      <c r="A44" s="2" t="s">
        <v>367</v>
      </c>
      <c r="B44" s="2" t="s">
        <v>37</v>
      </c>
      <c r="C44" s="2" t="s">
        <v>271</v>
      </c>
      <c r="D44" s="2" t="s">
        <v>368</v>
      </c>
      <c r="E44" s="2" t="s">
        <v>369</v>
      </c>
      <c r="F44" s="2">
        <v>0.1</v>
      </c>
      <c r="G44" s="2" t="s">
        <v>370</v>
      </c>
      <c r="H44" s="3">
        <v>0.1</v>
      </c>
      <c r="I44" s="3">
        <v>0.1</v>
      </c>
      <c r="J44" s="3">
        <v>0.1</v>
      </c>
      <c r="K44" s="3">
        <v>0.1</v>
      </c>
      <c r="L44" s="2" t="str">
        <f t="shared" si="0"/>
        <v>match</v>
      </c>
      <c r="M44" s="3" t="s">
        <v>243</v>
      </c>
      <c r="N44" s="3"/>
      <c r="O44" s="3" t="s">
        <v>30</v>
      </c>
    </row>
    <row r="45" ht="50" spans="1:15">
      <c r="A45" s="2" t="s">
        <v>371</v>
      </c>
      <c r="B45" s="2" t="s">
        <v>37</v>
      </c>
      <c r="C45" s="2" t="s">
        <v>107</v>
      </c>
      <c r="D45" s="2" t="s">
        <v>372</v>
      </c>
      <c r="E45" s="2" t="s">
        <v>373</v>
      </c>
      <c r="F45" s="2" t="s">
        <v>374</v>
      </c>
      <c r="G45" s="2" t="s">
        <v>375</v>
      </c>
      <c r="H45" s="3">
        <v>100</v>
      </c>
      <c r="I45" s="3" t="s">
        <v>376</v>
      </c>
      <c r="J45" s="3">
        <v>100</v>
      </c>
      <c r="K45" s="3">
        <v>178</v>
      </c>
      <c r="L45" s="2" t="str">
        <f t="shared" si="0"/>
        <v>differs</v>
      </c>
      <c r="M45" s="3" t="s">
        <v>236</v>
      </c>
      <c r="N45" s="3" t="s">
        <v>377</v>
      </c>
      <c r="O45" s="3" t="s">
        <v>31</v>
      </c>
    </row>
    <row r="46" spans="1:15">
      <c r="A46" s="2" t="s">
        <v>378</v>
      </c>
      <c r="B46" s="2" t="s">
        <v>37</v>
      </c>
      <c r="C46" s="2" t="s">
        <v>130</v>
      </c>
      <c r="D46" s="2" t="s">
        <v>130</v>
      </c>
      <c r="E46" s="2" t="s">
        <v>379</v>
      </c>
      <c r="F46" s="2" t="s">
        <v>380</v>
      </c>
      <c r="G46" s="2" t="s">
        <v>381</v>
      </c>
      <c r="H46" s="3" t="s">
        <v>380</v>
      </c>
      <c r="I46" s="3" t="s">
        <v>380</v>
      </c>
      <c r="J46" s="3" t="s">
        <v>380</v>
      </c>
      <c r="K46" s="3" t="s">
        <v>380</v>
      </c>
      <c r="L46" s="2" t="str">
        <f t="shared" si="0"/>
        <v>match</v>
      </c>
      <c r="M46" s="3" t="s">
        <v>243</v>
      </c>
      <c r="N46" s="3"/>
      <c r="O46" s="3" t="s">
        <v>30</v>
      </c>
    </row>
    <row r="47" spans="1:15">
      <c r="A47" s="2" t="s">
        <v>382</v>
      </c>
      <c r="B47" s="2" t="s">
        <v>37</v>
      </c>
      <c r="C47" s="2" t="s">
        <v>130</v>
      </c>
      <c r="D47" s="2" t="s">
        <v>295</v>
      </c>
      <c r="E47" s="2" t="s">
        <v>196</v>
      </c>
      <c r="F47" s="2">
        <v>0.0003</v>
      </c>
      <c r="G47" s="2" t="s">
        <v>383</v>
      </c>
      <c r="H47" s="3">
        <v>0.0003</v>
      </c>
      <c r="I47" s="3">
        <v>0.0003</v>
      </c>
      <c r="J47" s="3">
        <v>0.0003</v>
      </c>
      <c r="K47" s="3">
        <v>0.0003</v>
      </c>
      <c r="L47" s="2" t="str">
        <f t="shared" si="0"/>
        <v>match</v>
      </c>
      <c r="M47" s="3" t="s">
        <v>243</v>
      </c>
      <c r="N47" s="3"/>
      <c r="O47" s="3" t="s">
        <v>30</v>
      </c>
    </row>
    <row r="48" spans="1:15">
      <c r="A48" s="2" t="s">
        <v>384</v>
      </c>
      <c r="B48" s="2" t="s">
        <v>37</v>
      </c>
      <c r="C48" s="2" t="s">
        <v>130</v>
      </c>
      <c r="D48" s="2" t="s">
        <v>191</v>
      </c>
      <c r="E48" s="2" t="s">
        <v>192</v>
      </c>
      <c r="F48" s="2">
        <v>0.0003</v>
      </c>
      <c r="G48" s="2" t="s">
        <v>385</v>
      </c>
      <c r="H48" s="3">
        <v>0.0003</v>
      </c>
      <c r="I48" s="3">
        <v>0.0003</v>
      </c>
      <c r="J48" s="3">
        <v>0.0003</v>
      </c>
      <c r="K48" s="3">
        <v>0.0003</v>
      </c>
      <c r="L48" s="2" t="str">
        <f t="shared" si="0"/>
        <v>match</v>
      </c>
      <c r="M48" s="3" t="s">
        <v>243</v>
      </c>
      <c r="N48" s="3"/>
      <c r="O48" s="3" t="s">
        <v>30</v>
      </c>
    </row>
    <row r="49" ht="25" spans="1:15">
      <c r="A49" s="2" t="s">
        <v>386</v>
      </c>
      <c r="B49" s="2" t="s">
        <v>37</v>
      </c>
      <c r="C49" s="2" t="s">
        <v>137</v>
      </c>
      <c r="D49" s="2" t="s">
        <v>300</v>
      </c>
      <c r="E49" s="2" t="s">
        <v>203</v>
      </c>
      <c r="F49" s="2" t="s">
        <v>387</v>
      </c>
      <c r="G49" s="2" t="s">
        <v>388</v>
      </c>
      <c r="H49" s="3" t="s">
        <v>389</v>
      </c>
      <c r="I49" s="3" t="s">
        <v>389</v>
      </c>
      <c r="J49" s="3" t="s">
        <v>389</v>
      </c>
      <c r="K49" s="3" t="s">
        <v>389</v>
      </c>
      <c r="L49" s="2" t="str">
        <f t="shared" si="0"/>
        <v>match</v>
      </c>
      <c r="M49" s="3" t="s">
        <v>243</v>
      </c>
      <c r="N49" s="3"/>
      <c r="O49" s="3" t="s">
        <v>30</v>
      </c>
    </row>
    <row r="50" spans="1:15">
      <c r="A50" s="2" t="s">
        <v>390</v>
      </c>
      <c r="B50" s="2" t="s">
        <v>37</v>
      </c>
      <c r="C50" s="2" t="s">
        <v>137</v>
      </c>
      <c r="D50" s="2" t="s">
        <v>206</v>
      </c>
      <c r="E50" s="2" t="s">
        <v>207</v>
      </c>
      <c r="F50" s="2" t="s">
        <v>143</v>
      </c>
      <c r="G50" s="2" t="s">
        <v>391</v>
      </c>
      <c r="H50" s="3">
        <v>0</v>
      </c>
      <c r="I50" s="3">
        <v>0</v>
      </c>
      <c r="J50" s="3">
        <v>0</v>
      </c>
      <c r="K50" s="3">
        <v>0</v>
      </c>
      <c r="L50" s="2" t="str">
        <f t="shared" si="0"/>
        <v>match</v>
      </c>
      <c r="M50" s="3" t="s">
        <v>243</v>
      </c>
      <c r="N50" s="3"/>
      <c r="O50" s="3" t="s">
        <v>30</v>
      </c>
    </row>
    <row r="51" spans="1:15">
      <c r="A51" s="2" t="s">
        <v>392</v>
      </c>
      <c r="B51" s="2" t="s">
        <v>37</v>
      </c>
      <c r="C51" s="2" t="s">
        <v>130</v>
      </c>
      <c r="D51" s="2" t="s">
        <v>146</v>
      </c>
      <c r="E51" s="2" t="s">
        <v>210</v>
      </c>
      <c r="F51" s="2" t="s">
        <v>143</v>
      </c>
      <c r="G51" s="2" t="s">
        <v>393</v>
      </c>
      <c r="H51" s="3" t="s">
        <v>308</v>
      </c>
      <c r="I51" s="3" t="s">
        <v>308</v>
      </c>
      <c r="J51" s="3">
        <v>1</v>
      </c>
      <c r="K51" s="3">
        <v>1</v>
      </c>
      <c r="L51" s="2" t="str">
        <f t="shared" si="0"/>
        <v>differs</v>
      </c>
      <c r="M51" s="3" t="s">
        <v>243</v>
      </c>
      <c r="N51" s="3"/>
      <c r="O51" s="3" t="s">
        <v>33</v>
      </c>
    </row>
    <row r="52" spans="1:15">
      <c r="A52" s="2" t="s">
        <v>394</v>
      </c>
      <c r="B52" s="2" t="s">
        <v>37</v>
      </c>
      <c r="C52" s="2" t="s">
        <v>107</v>
      </c>
      <c r="D52" s="2" t="s">
        <v>212</v>
      </c>
      <c r="E52" s="2" t="s">
        <v>213</v>
      </c>
      <c r="F52" s="2" t="s">
        <v>395</v>
      </c>
      <c r="G52" s="2" t="s">
        <v>375</v>
      </c>
      <c r="H52" s="3">
        <v>16</v>
      </c>
      <c r="I52" s="3">
        <v>8</v>
      </c>
      <c r="J52" s="3">
        <v>4</v>
      </c>
      <c r="K52" s="3">
        <v>8</v>
      </c>
      <c r="L52" s="2" t="str">
        <f t="shared" si="0"/>
        <v>differs</v>
      </c>
      <c r="M52" s="3" t="s">
        <v>236</v>
      </c>
      <c r="N52" s="3" t="s">
        <v>313</v>
      </c>
      <c r="O52" s="3" t="s">
        <v>33</v>
      </c>
    </row>
    <row r="53" spans="1:15">
      <c r="A53" s="2" t="s">
        <v>396</v>
      </c>
      <c r="B53" s="2" t="s">
        <v>37</v>
      </c>
      <c r="C53" s="2" t="s">
        <v>114</v>
      </c>
      <c r="D53" s="2" t="s">
        <v>315</v>
      </c>
      <c r="E53" s="2" t="s">
        <v>223</v>
      </c>
      <c r="F53" s="2" t="s">
        <v>397</v>
      </c>
      <c r="G53" s="2" t="s">
        <v>398</v>
      </c>
      <c r="H53" s="3">
        <v>150</v>
      </c>
      <c r="I53" s="3">
        <v>150</v>
      </c>
      <c r="J53" s="3">
        <v>40</v>
      </c>
      <c r="K53" s="3">
        <v>40</v>
      </c>
      <c r="L53" s="2" t="str">
        <f t="shared" si="0"/>
        <v>differs</v>
      </c>
      <c r="M53" s="3" t="s">
        <v>236</v>
      </c>
      <c r="N53" s="3" t="s">
        <v>224</v>
      </c>
      <c r="O53" s="3" t="s">
        <v>33</v>
      </c>
    </row>
    <row r="54" spans="1:15">
      <c r="A54" s="2" t="s">
        <v>399</v>
      </c>
      <c r="B54" s="2" t="s">
        <v>37</v>
      </c>
      <c r="C54" s="2" t="s">
        <v>114</v>
      </c>
      <c r="D54" s="2" t="s">
        <v>319</v>
      </c>
      <c r="E54" s="2" t="s">
        <v>320</v>
      </c>
      <c r="F54" s="2" t="s">
        <v>173</v>
      </c>
      <c r="G54" s="2"/>
      <c r="H54" s="3">
        <v>28000</v>
      </c>
      <c r="I54" s="3">
        <v>41568</v>
      </c>
      <c r="J54" s="3">
        <v>10000</v>
      </c>
      <c r="K54" s="3">
        <v>10000</v>
      </c>
      <c r="L54" s="2" t="str">
        <f t="shared" si="0"/>
        <v>differs</v>
      </c>
      <c r="M54" s="3" t="s">
        <v>236</v>
      </c>
      <c r="N54" s="3" t="s">
        <v>400</v>
      </c>
      <c r="O54" s="3" t="s">
        <v>33</v>
      </c>
    </row>
    <row r="55" ht="25" spans="1:15">
      <c r="A55" s="2" t="s">
        <v>401</v>
      </c>
      <c r="B55" s="2" t="s">
        <v>38</v>
      </c>
      <c r="C55" s="2" t="s">
        <v>168</v>
      </c>
      <c r="D55" s="2" t="s">
        <v>84</v>
      </c>
      <c r="E55" s="2" t="s">
        <v>402</v>
      </c>
      <c r="F55" s="2" t="s">
        <v>403</v>
      </c>
      <c r="G55" s="2" t="s">
        <v>404</v>
      </c>
      <c r="H55" s="3" t="s">
        <v>405</v>
      </c>
      <c r="I55" s="3" t="s">
        <v>405</v>
      </c>
      <c r="J55" s="3" t="s">
        <v>405</v>
      </c>
      <c r="K55" s="3" t="s">
        <v>405</v>
      </c>
      <c r="L55" s="2" t="str">
        <f t="shared" si="0"/>
        <v>match</v>
      </c>
      <c r="M55" s="3" t="s">
        <v>236</v>
      </c>
      <c r="N55" s="3" t="s">
        <v>406</v>
      </c>
      <c r="O55" s="3" t="s">
        <v>30</v>
      </c>
    </row>
    <row r="56" spans="1:15">
      <c r="A56" s="2" t="s">
        <v>407</v>
      </c>
      <c r="B56" s="2" t="s">
        <v>38</v>
      </c>
      <c r="C56" s="2" t="s">
        <v>168</v>
      </c>
      <c r="D56" s="2" t="s">
        <v>408</v>
      </c>
      <c r="E56" s="2" t="s">
        <v>409</v>
      </c>
      <c r="F56" s="2" t="s">
        <v>410</v>
      </c>
      <c r="G56" s="2" t="s">
        <v>411</v>
      </c>
      <c r="H56" s="3" t="s">
        <v>412</v>
      </c>
      <c r="I56" s="3" t="s">
        <v>412</v>
      </c>
      <c r="J56" s="3" t="s">
        <v>412</v>
      </c>
      <c r="K56" s="3" t="s">
        <v>412</v>
      </c>
      <c r="L56" s="2" t="str">
        <f t="shared" si="0"/>
        <v>match</v>
      </c>
      <c r="M56" s="3" t="s">
        <v>243</v>
      </c>
      <c r="N56" s="3"/>
      <c r="O56" s="3" t="s">
        <v>30</v>
      </c>
    </row>
    <row r="57" spans="1:15">
      <c r="A57" s="2" t="s">
        <v>413</v>
      </c>
      <c r="B57" s="2" t="s">
        <v>38</v>
      </c>
      <c r="C57" s="2" t="s">
        <v>176</v>
      </c>
      <c r="D57" s="2" t="s">
        <v>414</v>
      </c>
      <c r="E57" s="2" t="s">
        <v>415</v>
      </c>
      <c r="F57" s="2" t="s">
        <v>416</v>
      </c>
      <c r="G57" s="2" t="s">
        <v>417</v>
      </c>
      <c r="H57" s="3" t="s">
        <v>418</v>
      </c>
      <c r="I57" s="3" t="s">
        <v>419</v>
      </c>
      <c r="J57" s="3" t="s">
        <v>418</v>
      </c>
      <c r="K57" s="3" t="s">
        <v>419</v>
      </c>
      <c r="L57" s="2" t="str">
        <f t="shared" si="0"/>
        <v>match</v>
      </c>
      <c r="M57" s="3" t="s">
        <v>236</v>
      </c>
      <c r="N57" s="3" t="s">
        <v>420</v>
      </c>
      <c r="O57" s="3" t="s">
        <v>30</v>
      </c>
    </row>
    <row r="58" ht="25" spans="1:15">
      <c r="A58" s="2" t="s">
        <v>421</v>
      </c>
      <c r="B58" s="2" t="s">
        <v>38</v>
      </c>
      <c r="C58" s="2" t="s">
        <v>176</v>
      </c>
      <c r="D58" s="2" t="s">
        <v>422</v>
      </c>
      <c r="E58" s="2" t="s">
        <v>423</v>
      </c>
      <c r="F58" s="2" t="s">
        <v>424</v>
      </c>
      <c r="G58" s="2" t="s">
        <v>425</v>
      </c>
      <c r="H58" s="3" t="s">
        <v>424</v>
      </c>
      <c r="I58" s="3" t="s">
        <v>424</v>
      </c>
      <c r="J58" s="3" t="s">
        <v>424</v>
      </c>
      <c r="K58" s="3" t="s">
        <v>424</v>
      </c>
      <c r="L58" s="2" t="str">
        <f t="shared" si="0"/>
        <v>match</v>
      </c>
      <c r="M58" s="3" t="s">
        <v>243</v>
      </c>
      <c r="N58" s="3"/>
      <c r="O58" s="3" t="s">
        <v>30</v>
      </c>
    </row>
    <row r="59" ht="37.5" spans="1:15">
      <c r="A59" s="2" t="s">
        <v>426</v>
      </c>
      <c r="B59" s="2" t="s">
        <v>38</v>
      </c>
      <c r="C59" s="2" t="s">
        <v>216</v>
      </c>
      <c r="D59" s="2" t="s">
        <v>427</v>
      </c>
      <c r="E59" s="2" t="s">
        <v>428</v>
      </c>
      <c r="F59" s="2" t="s">
        <v>429</v>
      </c>
      <c r="G59" s="2" t="s">
        <v>430</v>
      </c>
      <c r="H59" s="3" t="s">
        <v>431</v>
      </c>
      <c r="I59" s="3" t="s">
        <v>432</v>
      </c>
      <c r="J59" s="3" t="s">
        <v>433</v>
      </c>
      <c r="K59" s="3" t="s">
        <v>433</v>
      </c>
      <c r="L59" s="2" t="str">
        <f t="shared" si="0"/>
        <v>differs</v>
      </c>
      <c r="M59" s="3" t="s">
        <v>236</v>
      </c>
      <c r="N59" s="3" t="s">
        <v>434</v>
      </c>
      <c r="O59" s="3" t="s">
        <v>32</v>
      </c>
    </row>
    <row r="60" ht="37.5" spans="1:15">
      <c r="A60" s="2" t="s">
        <v>435</v>
      </c>
      <c r="B60" s="2" t="s">
        <v>38</v>
      </c>
      <c r="C60" s="2" t="s">
        <v>277</v>
      </c>
      <c r="D60" s="2" t="s">
        <v>436</v>
      </c>
      <c r="E60" s="2" t="s">
        <v>437</v>
      </c>
      <c r="F60" s="2" t="s">
        <v>438</v>
      </c>
      <c r="G60" s="2" t="s">
        <v>439</v>
      </c>
      <c r="H60" s="3" t="s">
        <v>440</v>
      </c>
      <c r="I60" s="3" t="s">
        <v>440</v>
      </c>
      <c r="J60" s="3">
        <v>70000</v>
      </c>
      <c r="K60" s="3">
        <v>70000</v>
      </c>
      <c r="L60" s="2" t="str">
        <f t="shared" si="0"/>
        <v>differs</v>
      </c>
      <c r="M60" s="3" t="s">
        <v>236</v>
      </c>
      <c r="N60" s="3" t="s">
        <v>441</v>
      </c>
      <c r="O60" s="3" t="s">
        <v>33</v>
      </c>
    </row>
    <row r="61" ht="25" spans="1:15">
      <c r="A61" s="2" t="s">
        <v>442</v>
      </c>
      <c r="B61" s="2" t="s">
        <v>38</v>
      </c>
      <c r="C61" s="2" t="s">
        <v>137</v>
      </c>
      <c r="D61" s="2" t="s">
        <v>443</v>
      </c>
      <c r="E61" s="2" t="s">
        <v>444</v>
      </c>
      <c r="F61" s="2" t="s">
        <v>445</v>
      </c>
      <c r="G61" s="2" t="s">
        <v>446</v>
      </c>
      <c r="H61" s="3" t="s">
        <v>447</v>
      </c>
      <c r="I61" s="3" t="s">
        <v>447</v>
      </c>
      <c r="J61" s="3" t="s">
        <v>448</v>
      </c>
      <c r="K61" s="3" t="s">
        <v>448</v>
      </c>
      <c r="L61" s="2" t="str">
        <f t="shared" si="0"/>
        <v>differs</v>
      </c>
      <c r="M61" s="3" t="s">
        <v>236</v>
      </c>
      <c r="N61" s="3" t="s">
        <v>449</v>
      </c>
      <c r="O61" s="3" t="s">
        <v>33</v>
      </c>
    </row>
    <row r="62" ht="25" spans="1:15">
      <c r="A62" s="2" t="s">
        <v>450</v>
      </c>
      <c r="B62" s="2" t="s">
        <v>38</v>
      </c>
      <c r="C62" s="2" t="s">
        <v>277</v>
      </c>
      <c r="D62" s="2" t="s">
        <v>451</v>
      </c>
      <c r="E62" s="2" t="s">
        <v>452</v>
      </c>
      <c r="F62" s="2" t="s">
        <v>453</v>
      </c>
      <c r="G62" s="2" t="s">
        <v>454</v>
      </c>
      <c r="H62" s="3" t="s">
        <v>455</v>
      </c>
      <c r="I62" s="3" t="s">
        <v>455</v>
      </c>
      <c r="J62" s="3" t="s">
        <v>456</v>
      </c>
      <c r="K62" s="3" t="s">
        <v>456</v>
      </c>
      <c r="L62" s="2" t="str">
        <f t="shared" si="0"/>
        <v>differs</v>
      </c>
      <c r="M62" s="3" t="s">
        <v>243</v>
      </c>
      <c r="N62" s="3"/>
      <c r="O62" s="3" t="s">
        <v>34</v>
      </c>
    </row>
    <row r="63" ht="25" spans="1:15">
      <c r="A63" s="2" t="s">
        <v>457</v>
      </c>
      <c r="B63" s="2" t="s">
        <v>38</v>
      </c>
      <c r="C63" s="2" t="s">
        <v>130</v>
      </c>
      <c r="D63" s="2" t="s">
        <v>130</v>
      </c>
      <c r="E63" s="2" t="s">
        <v>458</v>
      </c>
      <c r="F63" s="2" t="s">
        <v>291</v>
      </c>
      <c r="G63" s="2" t="s">
        <v>459</v>
      </c>
      <c r="H63" s="3" t="s">
        <v>293</v>
      </c>
      <c r="I63" s="3" t="s">
        <v>293</v>
      </c>
      <c r="J63" s="3" t="s">
        <v>293</v>
      </c>
      <c r="K63" s="3" t="s">
        <v>293</v>
      </c>
      <c r="L63" s="2" t="str">
        <f t="shared" si="0"/>
        <v>match</v>
      </c>
      <c r="M63" s="3" t="s">
        <v>243</v>
      </c>
      <c r="N63" s="3"/>
      <c r="O63" s="3" t="s">
        <v>30</v>
      </c>
    </row>
    <row r="64" spans="1:15">
      <c r="A64" s="2" t="s">
        <v>460</v>
      </c>
      <c r="B64" s="2" t="s">
        <v>38</v>
      </c>
      <c r="C64" s="2" t="s">
        <v>130</v>
      </c>
      <c r="D64" s="2" t="s">
        <v>295</v>
      </c>
      <c r="E64" s="2" t="s">
        <v>196</v>
      </c>
      <c r="F64" s="2">
        <v>0.01</v>
      </c>
      <c r="G64" s="2" t="s">
        <v>461</v>
      </c>
      <c r="H64" s="3">
        <v>0.01</v>
      </c>
      <c r="I64" s="3">
        <v>0.01</v>
      </c>
      <c r="J64" s="3">
        <v>0.01</v>
      </c>
      <c r="K64" s="3">
        <v>0.01</v>
      </c>
      <c r="L64" s="2" t="str">
        <f t="shared" si="0"/>
        <v>match</v>
      </c>
      <c r="M64" s="3" t="s">
        <v>243</v>
      </c>
      <c r="N64" s="3"/>
      <c r="O64" s="3" t="s">
        <v>30</v>
      </c>
    </row>
    <row r="65" spans="1:15">
      <c r="A65" s="2" t="s">
        <v>462</v>
      </c>
      <c r="B65" s="2" t="s">
        <v>38</v>
      </c>
      <c r="C65" s="2" t="s">
        <v>130</v>
      </c>
      <c r="D65" s="2" t="s">
        <v>463</v>
      </c>
      <c r="E65" s="2" t="s">
        <v>192</v>
      </c>
      <c r="F65" s="2">
        <v>0.0001</v>
      </c>
      <c r="G65" s="2" t="s">
        <v>464</v>
      </c>
      <c r="H65" s="3">
        <v>0.0001</v>
      </c>
      <c r="I65" s="3">
        <v>0.0001</v>
      </c>
      <c r="J65" s="3">
        <v>0.0001</v>
      </c>
      <c r="K65" s="3">
        <v>0.0001</v>
      </c>
      <c r="L65" s="2" t="str">
        <f t="shared" si="0"/>
        <v>match</v>
      </c>
      <c r="M65" s="3" t="s">
        <v>243</v>
      </c>
      <c r="N65" s="3"/>
      <c r="O65" s="3" t="s">
        <v>30</v>
      </c>
    </row>
    <row r="66" spans="1:15">
      <c r="A66" s="2" t="s">
        <v>465</v>
      </c>
      <c r="B66" s="2" t="s">
        <v>38</v>
      </c>
      <c r="C66" s="2" t="s">
        <v>137</v>
      </c>
      <c r="D66" s="2" t="s">
        <v>206</v>
      </c>
      <c r="E66" s="2" t="s">
        <v>207</v>
      </c>
      <c r="F66" s="2" t="s">
        <v>143</v>
      </c>
      <c r="G66" s="2" t="s">
        <v>466</v>
      </c>
      <c r="H66" s="3">
        <v>0</v>
      </c>
      <c r="I66" s="3">
        <v>0</v>
      </c>
      <c r="J66" s="3">
        <v>0</v>
      </c>
      <c r="K66" s="3">
        <v>0</v>
      </c>
      <c r="L66" s="2" t="str">
        <f t="shared" ref="L66:L106" si="1">IF(OR(J66="",K66=""),"n/a",IF(AND(H66&amp;""=J66&amp;"",I66&amp;""=K66&amp;""),"match","differs"))</f>
        <v>match</v>
      </c>
      <c r="M66" s="3" t="s">
        <v>243</v>
      </c>
      <c r="N66" s="3"/>
      <c r="O66" s="3" t="s">
        <v>30</v>
      </c>
    </row>
    <row r="67" spans="1:15">
      <c r="A67" s="2" t="s">
        <v>467</v>
      </c>
      <c r="B67" s="2" t="s">
        <v>38</v>
      </c>
      <c r="C67" s="2" t="s">
        <v>130</v>
      </c>
      <c r="D67" s="2" t="s">
        <v>146</v>
      </c>
      <c r="E67" s="2" t="s">
        <v>210</v>
      </c>
      <c r="F67" s="2" t="s">
        <v>143</v>
      </c>
      <c r="G67" s="2" t="s">
        <v>468</v>
      </c>
      <c r="H67" s="3" t="s">
        <v>308</v>
      </c>
      <c r="I67" s="3" t="s">
        <v>308</v>
      </c>
      <c r="J67" s="3">
        <v>1</v>
      </c>
      <c r="K67" s="3">
        <v>1</v>
      </c>
      <c r="L67" s="2" t="str">
        <f t="shared" si="1"/>
        <v>differs</v>
      </c>
      <c r="M67" s="3" t="s">
        <v>243</v>
      </c>
      <c r="N67" s="3"/>
      <c r="O67" s="3" t="s">
        <v>33</v>
      </c>
    </row>
    <row r="68" spans="1:15">
      <c r="A68" s="2" t="s">
        <v>469</v>
      </c>
      <c r="B68" s="2" t="s">
        <v>38</v>
      </c>
      <c r="C68" s="2" t="s">
        <v>107</v>
      </c>
      <c r="D68" s="2" t="s">
        <v>212</v>
      </c>
      <c r="E68" s="2" t="s">
        <v>213</v>
      </c>
      <c r="F68" s="2" t="s">
        <v>470</v>
      </c>
      <c r="G68" s="2" t="s">
        <v>471</v>
      </c>
      <c r="H68" s="3">
        <v>16</v>
      </c>
      <c r="I68" s="3">
        <v>8</v>
      </c>
      <c r="J68" s="3">
        <v>4</v>
      </c>
      <c r="K68" s="3">
        <v>8</v>
      </c>
      <c r="L68" s="2" t="str">
        <f t="shared" si="1"/>
        <v>differs</v>
      </c>
      <c r="M68" s="3" t="s">
        <v>236</v>
      </c>
      <c r="N68" s="3" t="s">
        <v>472</v>
      </c>
      <c r="O68" s="3" t="s">
        <v>33</v>
      </c>
    </row>
    <row r="69" spans="1:15">
      <c r="A69" s="2" t="s">
        <v>473</v>
      </c>
      <c r="B69" s="2" t="s">
        <v>38</v>
      </c>
      <c r="C69" s="2" t="s">
        <v>114</v>
      </c>
      <c r="D69" s="2" t="s">
        <v>315</v>
      </c>
      <c r="E69" s="2" t="s">
        <v>223</v>
      </c>
      <c r="F69" s="2" t="s">
        <v>474</v>
      </c>
      <c r="G69" s="2" t="s">
        <v>475</v>
      </c>
      <c r="H69" s="3">
        <v>150</v>
      </c>
      <c r="I69" s="3">
        <v>150</v>
      </c>
      <c r="J69" s="3">
        <v>150</v>
      </c>
      <c r="K69" s="3">
        <v>150</v>
      </c>
      <c r="L69" s="2" t="str">
        <f t="shared" si="1"/>
        <v>match</v>
      </c>
      <c r="M69" s="3" t="s">
        <v>236</v>
      </c>
      <c r="N69" s="3" t="s">
        <v>224</v>
      </c>
      <c r="O69" s="3" t="s">
        <v>30</v>
      </c>
    </row>
    <row r="70" spans="1:15">
      <c r="A70" s="2" t="s">
        <v>476</v>
      </c>
      <c r="B70" s="2" t="s">
        <v>38</v>
      </c>
      <c r="C70" s="2" t="s">
        <v>114</v>
      </c>
      <c r="D70" s="2" t="s">
        <v>319</v>
      </c>
      <c r="E70" s="2" t="s">
        <v>320</v>
      </c>
      <c r="F70" s="2" t="s">
        <v>173</v>
      </c>
      <c r="G70" s="2"/>
      <c r="H70" s="3">
        <v>28000</v>
      </c>
      <c r="I70" s="3">
        <v>41568</v>
      </c>
      <c r="J70" s="3">
        <v>10000</v>
      </c>
      <c r="K70" s="3">
        <v>10000</v>
      </c>
      <c r="L70" s="2" t="str">
        <f t="shared" si="1"/>
        <v>differs</v>
      </c>
      <c r="M70" s="3" t="s">
        <v>236</v>
      </c>
      <c r="N70" s="3" t="s">
        <v>400</v>
      </c>
      <c r="O70" s="3" t="s">
        <v>33</v>
      </c>
    </row>
    <row r="71" ht="37.5" spans="1:15">
      <c r="A71" s="2" t="s">
        <v>477</v>
      </c>
      <c r="B71" s="2" t="s">
        <v>39</v>
      </c>
      <c r="C71" s="2" t="s">
        <v>168</v>
      </c>
      <c r="D71" s="2" t="s">
        <v>84</v>
      </c>
      <c r="E71" s="2" t="s">
        <v>478</v>
      </c>
      <c r="F71" s="2" t="s">
        <v>479</v>
      </c>
      <c r="G71" s="2" t="s">
        <v>480</v>
      </c>
      <c r="H71" s="3" t="s">
        <v>405</v>
      </c>
      <c r="I71" s="3" t="s">
        <v>405</v>
      </c>
      <c r="J71" s="3" t="s">
        <v>405</v>
      </c>
      <c r="K71" s="3" t="s">
        <v>405</v>
      </c>
      <c r="L71" s="2" t="str">
        <f t="shared" si="1"/>
        <v>match</v>
      </c>
      <c r="M71" s="3" t="s">
        <v>236</v>
      </c>
      <c r="N71" s="3" t="s">
        <v>481</v>
      </c>
      <c r="O71" s="3" t="s">
        <v>30</v>
      </c>
    </row>
    <row r="72" ht="37.5" spans="1:15">
      <c r="A72" s="2" t="s">
        <v>482</v>
      </c>
      <c r="B72" s="2" t="s">
        <v>39</v>
      </c>
      <c r="C72" s="2" t="s">
        <v>176</v>
      </c>
      <c r="D72" s="2" t="s">
        <v>483</v>
      </c>
      <c r="E72" s="2" t="s">
        <v>484</v>
      </c>
      <c r="F72" s="2" t="s">
        <v>485</v>
      </c>
      <c r="G72" s="2" t="s">
        <v>486</v>
      </c>
      <c r="H72" s="3" t="s">
        <v>487</v>
      </c>
      <c r="I72" s="3" t="s">
        <v>487</v>
      </c>
      <c r="J72" s="3" t="s">
        <v>487</v>
      </c>
      <c r="K72" s="3" t="s">
        <v>487</v>
      </c>
      <c r="L72" s="2" t="str">
        <f t="shared" si="1"/>
        <v>match</v>
      </c>
      <c r="M72" s="3" t="s">
        <v>236</v>
      </c>
      <c r="N72" s="3" t="s">
        <v>488</v>
      </c>
      <c r="O72" s="3" t="s">
        <v>30</v>
      </c>
    </row>
    <row r="73" spans="1:15">
      <c r="A73" s="2" t="s">
        <v>489</v>
      </c>
      <c r="B73" s="2" t="s">
        <v>39</v>
      </c>
      <c r="C73" s="2" t="s">
        <v>176</v>
      </c>
      <c r="D73" s="2" t="s">
        <v>490</v>
      </c>
      <c r="E73" s="2" t="s">
        <v>491</v>
      </c>
      <c r="F73" s="2">
        <v>512</v>
      </c>
      <c r="G73" s="2" t="s">
        <v>492</v>
      </c>
      <c r="H73" s="3">
        <v>512</v>
      </c>
      <c r="I73" s="3">
        <v>512</v>
      </c>
      <c r="J73" s="3">
        <v>256</v>
      </c>
      <c r="K73" s="3">
        <v>256</v>
      </c>
      <c r="L73" s="2" t="str">
        <f t="shared" si="1"/>
        <v>differs</v>
      </c>
      <c r="M73" s="3" t="s">
        <v>243</v>
      </c>
      <c r="N73" s="3" t="s">
        <v>493</v>
      </c>
      <c r="O73" s="3" t="s">
        <v>32</v>
      </c>
    </row>
    <row r="74" spans="1:15">
      <c r="A74" s="2" t="s">
        <v>494</v>
      </c>
      <c r="B74" s="2" t="s">
        <v>39</v>
      </c>
      <c r="C74" s="2" t="s">
        <v>176</v>
      </c>
      <c r="D74" s="2" t="s">
        <v>495</v>
      </c>
      <c r="E74" s="2" t="s">
        <v>496</v>
      </c>
      <c r="F74" s="2">
        <v>512</v>
      </c>
      <c r="G74" s="2" t="s">
        <v>492</v>
      </c>
      <c r="H74" s="3">
        <v>48</v>
      </c>
      <c r="I74" s="3">
        <v>64</v>
      </c>
      <c r="J74" s="3">
        <v>48</v>
      </c>
      <c r="K74" s="3">
        <v>64</v>
      </c>
      <c r="L74" s="2" t="str">
        <f t="shared" si="1"/>
        <v>match</v>
      </c>
      <c r="M74" s="3" t="s">
        <v>236</v>
      </c>
      <c r="N74" s="3" t="s">
        <v>497</v>
      </c>
      <c r="O74" s="3" t="s">
        <v>30</v>
      </c>
    </row>
    <row r="75" ht="25" spans="1:15">
      <c r="A75" s="2" t="s">
        <v>498</v>
      </c>
      <c r="B75" s="2" t="s">
        <v>39</v>
      </c>
      <c r="C75" s="2" t="s">
        <v>176</v>
      </c>
      <c r="D75" s="2" t="s">
        <v>499</v>
      </c>
      <c r="E75" s="2" t="s">
        <v>500</v>
      </c>
      <c r="F75" s="2" t="s">
        <v>501</v>
      </c>
      <c r="G75" s="2" t="s">
        <v>502</v>
      </c>
      <c r="H75" s="3" t="s">
        <v>503</v>
      </c>
      <c r="I75" s="3" t="s">
        <v>503</v>
      </c>
      <c r="J75" s="3" t="s">
        <v>503</v>
      </c>
      <c r="K75" s="3" t="s">
        <v>503</v>
      </c>
      <c r="L75" s="2" t="str">
        <f t="shared" si="1"/>
        <v>match</v>
      </c>
      <c r="M75" s="3" t="s">
        <v>236</v>
      </c>
      <c r="N75" s="3" t="s">
        <v>504</v>
      </c>
      <c r="O75" s="3" t="s">
        <v>32</v>
      </c>
    </row>
    <row r="76" spans="1:15">
      <c r="A76" s="2" t="s">
        <v>505</v>
      </c>
      <c r="B76" s="2" t="s">
        <v>39</v>
      </c>
      <c r="C76" s="2" t="s">
        <v>176</v>
      </c>
      <c r="D76" s="2" t="s">
        <v>506</v>
      </c>
      <c r="E76" s="2" t="s">
        <v>507</v>
      </c>
      <c r="F76" s="2" t="s">
        <v>508</v>
      </c>
      <c r="G76" s="2" t="s">
        <v>509</v>
      </c>
      <c r="H76" s="3" t="s">
        <v>510</v>
      </c>
      <c r="I76" s="3" t="s">
        <v>510</v>
      </c>
      <c r="J76" s="3" t="s">
        <v>510</v>
      </c>
      <c r="K76" s="3" t="s">
        <v>510</v>
      </c>
      <c r="L76" s="2" t="str">
        <f t="shared" si="1"/>
        <v>match</v>
      </c>
      <c r="M76" s="3" t="s">
        <v>243</v>
      </c>
      <c r="N76" s="3" t="s">
        <v>511</v>
      </c>
      <c r="O76" s="3" t="s">
        <v>30</v>
      </c>
    </row>
    <row r="77" ht="25" spans="1:15">
      <c r="A77" s="2" t="s">
        <v>512</v>
      </c>
      <c r="B77" s="2" t="s">
        <v>39</v>
      </c>
      <c r="C77" s="2" t="s">
        <v>176</v>
      </c>
      <c r="D77" s="2" t="s">
        <v>513</v>
      </c>
      <c r="E77" s="2" t="s">
        <v>514</v>
      </c>
      <c r="F77" s="2" t="s">
        <v>515</v>
      </c>
      <c r="G77" s="2" t="s">
        <v>516</v>
      </c>
      <c r="H77" s="3" t="s">
        <v>517</v>
      </c>
      <c r="I77" s="3" t="s">
        <v>518</v>
      </c>
      <c r="J77" s="3" t="s">
        <v>517</v>
      </c>
      <c r="K77" s="3" t="s">
        <v>518</v>
      </c>
      <c r="L77" s="2" t="str">
        <f t="shared" si="1"/>
        <v>match</v>
      </c>
      <c r="M77" s="3" t="s">
        <v>236</v>
      </c>
      <c r="N77" s="3" t="s">
        <v>519</v>
      </c>
      <c r="O77" s="3" t="s">
        <v>30</v>
      </c>
    </row>
    <row r="78" spans="1:15">
      <c r="A78" s="2" t="s">
        <v>520</v>
      </c>
      <c r="B78" s="2" t="s">
        <v>39</v>
      </c>
      <c r="C78" s="2" t="s">
        <v>216</v>
      </c>
      <c r="D78" s="2" t="s">
        <v>521</v>
      </c>
      <c r="E78" s="2" t="s">
        <v>507</v>
      </c>
      <c r="F78" s="2" t="s">
        <v>522</v>
      </c>
      <c r="G78" s="2" t="s">
        <v>523</v>
      </c>
      <c r="H78" s="3" t="s">
        <v>524</v>
      </c>
      <c r="I78" s="3" t="s">
        <v>524</v>
      </c>
      <c r="J78" s="3"/>
      <c r="K78" s="3"/>
      <c r="L78" s="2" t="str">
        <f t="shared" si="1"/>
        <v>n/a</v>
      </c>
      <c r="M78" s="3" t="s">
        <v>243</v>
      </c>
      <c r="N78" s="3"/>
      <c r="O78" s="3" t="s">
        <v>30</v>
      </c>
    </row>
    <row r="79" spans="1:15">
      <c r="A79" s="2" t="s">
        <v>525</v>
      </c>
      <c r="B79" s="2" t="s">
        <v>39</v>
      </c>
      <c r="C79" s="2" t="s">
        <v>216</v>
      </c>
      <c r="D79" s="2" t="s">
        <v>526</v>
      </c>
      <c r="E79" s="2" t="s">
        <v>527</v>
      </c>
      <c r="F79" s="2" t="s">
        <v>528</v>
      </c>
      <c r="G79" s="2" t="s">
        <v>529</v>
      </c>
      <c r="H79" s="3">
        <v>6</v>
      </c>
      <c r="I79" s="3">
        <v>6</v>
      </c>
      <c r="J79" s="3">
        <v>6</v>
      </c>
      <c r="K79" s="3">
        <v>6</v>
      </c>
      <c r="L79" s="2" t="str">
        <f t="shared" si="1"/>
        <v>match</v>
      </c>
      <c r="M79" s="3" t="s">
        <v>236</v>
      </c>
      <c r="N79" s="3" t="s">
        <v>530</v>
      </c>
      <c r="O79" s="3" t="s">
        <v>30</v>
      </c>
    </row>
    <row r="80" spans="1:15">
      <c r="A80" s="2" t="s">
        <v>531</v>
      </c>
      <c r="B80" s="2" t="s">
        <v>39</v>
      </c>
      <c r="C80" s="2" t="s">
        <v>216</v>
      </c>
      <c r="D80" s="2" t="s">
        <v>532</v>
      </c>
      <c r="E80" s="2" t="s">
        <v>533</v>
      </c>
      <c r="F80" s="2">
        <v>10</v>
      </c>
      <c r="G80" s="2" t="s">
        <v>529</v>
      </c>
      <c r="H80" s="3">
        <v>10</v>
      </c>
      <c r="I80" s="3">
        <v>10</v>
      </c>
      <c r="J80" s="3">
        <v>10</v>
      </c>
      <c r="K80" s="3">
        <v>10</v>
      </c>
      <c r="L80" s="2" t="str">
        <f t="shared" si="1"/>
        <v>match</v>
      </c>
      <c r="M80" s="3" t="s">
        <v>243</v>
      </c>
      <c r="N80" s="3"/>
      <c r="O80" s="3" t="s">
        <v>30</v>
      </c>
    </row>
    <row r="81" ht="25" spans="1:15">
      <c r="A81" s="2" t="s">
        <v>534</v>
      </c>
      <c r="B81" s="2" t="s">
        <v>39</v>
      </c>
      <c r="C81" s="2" t="s">
        <v>216</v>
      </c>
      <c r="D81" s="2" t="s">
        <v>535</v>
      </c>
      <c r="E81" s="2" t="s">
        <v>536</v>
      </c>
      <c r="F81" s="2" t="s">
        <v>537</v>
      </c>
      <c r="G81" s="2" t="s">
        <v>538</v>
      </c>
      <c r="H81" s="3" t="s">
        <v>539</v>
      </c>
      <c r="I81" s="3" t="s">
        <v>539</v>
      </c>
      <c r="J81" s="3" t="s">
        <v>539</v>
      </c>
      <c r="K81" s="3" t="s">
        <v>539</v>
      </c>
      <c r="L81" s="2" t="str">
        <f t="shared" si="1"/>
        <v>match</v>
      </c>
      <c r="M81" s="3" t="s">
        <v>236</v>
      </c>
      <c r="N81" s="3" t="s">
        <v>540</v>
      </c>
      <c r="O81" s="3" t="s">
        <v>30</v>
      </c>
    </row>
    <row r="82" spans="1:15">
      <c r="A82" s="2" t="s">
        <v>541</v>
      </c>
      <c r="B82" s="2" t="s">
        <v>39</v>
      </c>
      <c r="C82" s="2" t="s">
        <v>130</v>
      </c>
      <c r="D82" s="2" t="s">
        <v>130</v>
      </c>
      <c r="E82" s="2" t="s">
        <v>542</v>
      </c>
      <c r="F82" s="2" t="s">
        <v>543</v>
      </c>
      <c r="G82" s="2" t="s">
        <v>544</v>
      </c>
      <c r="H82" s="3" t="s">
        <v>543</v>
      </c>
      <c r="I82" s="3" t="s">
        <v>543</v>
      </c>
      <c r="J82" s="3" t="s">
        <v>543</v>
      </c>
      <c r="K82" s="3" t="s">
        <v>543</v>
      </c>
      <c r="L82" s="2" t="str">
        <f t="shared" si="1"/>
        <v>match</v>
      </c>
      <c r="M82" s="3" t="s">
        <v>243</v>
      </c>
      <c r="N82" s="3"/>
      <c r="O82" s="3" t="s">
        <v>30</v>
      </c>
    </row>
    <row r="83" spans="1:15">
      <c r="A83" s="2" t="s">
        <v>545</v>
      </c>
      <c r="B83" s="2" t="s">
        <v>39</v>
      </c>
      <c r="C83" s="2" t="s">
        <v>130</v>
      </c>
      <c r="D83" s="2" t="s">
        <v>295</v>
      </c>
      <c r="E83" s="2" t="s">
        <v>196</v>
      </c>
      <c r="F83" s="2">
        <v>0.0002</v>
      </c>
      <c r="G83" s="2" t="s">
        <v>529</v>
      </c>
      <c r="H83" s="3">
        <v>0.0002</v>
      </c>
      <c r="I83" s="3">
        <v>0.0002</v>
      </c>
      <c r="J83" s="3">
        <v>0.0002</v>
      </c>
      <c r="K83" s="3">
        <v>0.0002</v>
      </c>
      <c r="L83" s="2" t="str">
        <f t="shared" si="1"/>
        <v>match</v>
      </c>
      <c r="M83" s="3" t="s">
        <v>243</v>
      </c>
      <c r="N83" s="3"/>
      <c r="O83" s="3" t="s">
        <v>30</v>
      </c>
    </row>
    <row r="84" spans="1:15">
      <c r="A84" s="2" t="s">
        <v>546</v>
      </c>
      <c r="B84" s="2" t="s">
        <v>39</v>
      </c>
      <c r="C84" s="2" t="s">
        <v>130</v>
      </c>
      <c r="D84" s="2" t="s">
        <v>191</v>
      </c>
      <c r="E84" s="2" t="s">
        <v>192</v>
      </c>
      <c r="F84" s="2">
        <v>0</v>
      </c>
      <c r="G84" s="2" t="s">
        <v>332</v>
      </c>
      <c r="H84" s="3">
        <v>0</v>
      </c>
      <c r="I84" s="3">
        <v>0</v>
      </c>
      <c r="J84" s="3">
        <v>0</v>
      </c>
      <c r="K84" s="3">
        <v>0</v>
      </c>
      <c r="L84" s="2" t="str">
        <f t="shared" si="1"/>
        <v>match</v>
      </c>
      <c r="M84" s="3" t="s">
        <v>243</v>
      </c>
      <c r="N84" s="3"/>
      <c r="O84" s="3" t="s">
        <v>30</v>
      </c>
    </row>
    <row r="85" ht="25" spans="1:15">
      <c r="A85" s="2" t="s">
        <v>547</v>
      </c>
      <c r="B85" s="2" t="s">
        <v>39</v>
      </c>
      <c r="C85" s="2" t="s">
        <v>137</v>
      </c>
      <c r="D85" s="2" t="s">
        <v>548</v>
      </c>
      <c r="E85" s="2" t="s">
        <v>549</v>
      </c>
      <c r="F85" s="2" t="s">
        <v>550</v>
      </c>
      <c r="G85" s="2" t="s">
        <v>551</v>
      </c>
      <c r="H85" s="3" t="s">
        <v>552</v>
      </c>
      <c r="I85" s="3" t="s">
        <v>552</v>
      </c>
      <c r="J85" s="3" t="s">
        <v>552</v>
      </c>
      <c r="K85" s="3" t="s">
        <v>552</v>
      </c>
      <c r="L85" s="2" t="str">
        <f t="shared" si="1"/>
        <v>match</v>
      </c>
      <c r="M85" s="3" t="s">
        <v>243</v>
      </c>
      <c r="N85" s="3"/>
      <c r="O85" s="3" t="s">
        <v>30</v>
      </c>
    </row>
    <row r="86" spans="1:15">
      <c r="A86" s="2" t="s">
        <v>553</v>
      </c>
      <c r="B86" s="2" t="s">
        <v>39</v>
      </c>
      <c r="C86" s="2" t="s">
        <v>130</v>
      </c>
      <c r="D86" s="2" t="s">
        <v>146</v>
      </c>
      <c r="E86" s="2" t="s">
        <v>210</v>
      </c>
      <c r="F86" s="2" t="s">
        <v>554</v>
      </c>
      <c r="G86" s="2" t="s">
        <v>551</v>
      </c>
      <c r="H86" s="3" t="s">
        <v>308</v>
      </c>
      <c r="I86" s="3" t="s">
        <v>308</v>
      </c>
      <c r="J86" s="3">
        <v>1</v>
      </c>
      <c r="K86" s="3">
        <v>1</v>
      </c>
      <c r="L86" s="2" t="str">
        <f t="shared" si="1"/>
        <v>differs</v>
      </c>
      <c r="M86" s="3" t="s">
        <v>243</v>
      </c>
      <c r="N86" s="3"/>
      <c r="O86" s="3" t="s">
        <v>33</v>
      </c>
    </row>
    <row r="87" spans="1:15">
      <c r="A87" s="2" t="s">
        <v>555</v>
      </c>
      <c r="B87" s="2" t="s">
        <v>39</v>
      </c>
      <c r="C87" s="2" t="s">
        <v>107</v>
      </c>
      <c r="D87" s="2" t="s">
        <v>212</v>
      </c>
      <c r="E87" s="2" t="s">
        <v>213</v>
      </c>
      <c r="F87" s="2" t="s">
        <v>556</v>
      </c>
      <c r="G87" s="2" t="s">
        <v>557</v>
      </c>
      <c r="H87" s="3">
        <v>16</v>
      </c>
      <c r="I87" s="3">
        <v>8</v>
      </c>
      <c r="J87" s="3">
        <v>8</v>
      </c>
      <c r="K87" s="3">
        <v>8</v>
      </c>
      <c r="L87" s="2" t="str">
        <f t="shared" si="1"/>
        <v>differs</v>
      </c>
      <c r="M87" s="3" t="s">
        <v>236</v>
      </c>
      <c r="N87" s="3" t="s">
        <v>558</v>
      </c>
      <c r="O87" s="3" t="s">
        <v>33</v>
      </c>
    </row>
    <row r="88" spans="1:15">
      <c r="A88" s="2" t="s">
        <v>559</v>
      </c>
      <c r="B88" s="2" t="s">
        <v>39</v>
      </c>
      <c r="C88" s="2" t="s">
        <v>114</v>
      </c>
      <c r="D88" s="2" t="s">
        <v>315</v>
      </c>
      <c r="E88" s="2" t="s">
        <v>223</v>
      </c>
      <c r="F88" s="2" t="s">
        <v>560</v>
      </c>
      <c r="G88" s="2" t="s">
        <v>557</v>
      </c>
      <c r="H88" s="3">
        <v>150</v>
      </c>
      <c r="I88" s="3">
        <v>150</v>
      </c>
      <c r="J88" s="3">
        <v>150</v>
      </c>
      <c r="K88" s="3">
        <v>150</v>
      </c>
      <c r="L88" s="2" t="str">
        <f t="shared" si="1"/>
        <v>match</v>
      </c>
      <c r="M88" s="3" t="s">
        <v>236</v>
      </c>
      <c r="N88" s="3" t="s">
        <v>224</v>
      </c>
      <c r="O88" s="3" t="s">
        <v>30</v>
      </c>
    </row>
    <row r="89" spans="1:15">
      <c r="A89" s="2" t="s">
        <v>561</v>
      </c>
      <c r="B89" s="2" t="s">
        <v>39</v>
      </c>
      <c r="C89" s="2" t="s">
        <v>114</v>
      </c>
      <c r="D89" s="2" t="s">
        <v>319</v>
      </c>
      <c r="E89" s="2" t="s">
        <v>320</v>
      </c>
      <c r="F89" s="2" t="s">
        <v>173</v>
      </c>
      <c r="G89" s="2"/>
      <c r="H89" s="3">
        <v>28000</v>
      </c>
      <c r="I89" s="3">
        <v>41568</v>
      </c>
      <c r="J89" s="3">
        <v>10000</v>
      </c>
      <c r="K89" s="3">
        <v>10000</v>
      </c>
      <c r="L89" s="2" t="str">
        <f t="shared" si="1"/>
        <v>differs</v>
      </c>
      <c r="M89" s="3" t="s">
        <v>236</v>
      </c>
      <c r="N89" s="3" t="s">
        <v>400</v>
      </c>
      <c r="O89" s="3" t="s">
        <v>33</v>
      </c>
    </row>
    <row r="90" ht="37.5" spans="1:15">
      <c r="A90" s="2" t="s">
        <v>562</v>
      </c>
      <c r="B90" s="2" t="s">
        <v>40</v>
      </c>
      <c r="C90" s="2" t="s">
        <v>168</v>
      </c>
      <c r="D90" s="2" t="s">
        <v>84</v>
      </c>
      <c r="E90" s="2" t="s">
        <v>563</v>
      </c>
      <c r="F90" s="2" t="s">
        <v>564</v>
      </c>
      <c r="G90" s="2" t="s">
        <v>565</v>
      </c>
      <c r="H90" s="3" t="s">
        <v>405</v>
      </c>
      <c r="I90" s="3" t="s">
        <v>405</v>
      </c>
      <c r="J90" s="3" t="s">
        <v>405</v>
      </c>
      <c r="K90" s="3" t="s">
        <v>405</v>
      </c>
      <c r="L90" s="2" t="str">
        <f t="shared" si="1"/>
        <v>match</v>
      </c>
      <c r="M90" s="3" t="s">
        <v>236</v>
      </c>
      <c r="N90" s="3" t="s">
        <v>566</v>
      </c>
      <c r="O90" s="3" t="s">
        <v>30</v>
      </c>
    </row>
    <row r="91" ht="25" spans="1:15">
      <c r="A91" s="2" t="s">
        <v>567</v>
      </c>
      <c r="B91" s="2" t="s">
        <v>40</v>
      </c>
      <c r="C91" s="2" t="s">
        <v>216</v>
      </c>
      <c r="D91" s="2" t="s">
        <v>568</v>
      </c>
      <c r="E91" s="2" t="s">
        <v>569</v>
      </c>
      <c r="F91" s="2" t="s">
        <v>570</v>
      </c>
      <c r="G91" s="2" t="s">
        <v>571</v>
      </c>
      <c r="H91" s="3">
        <v>10</v>
      </c>
      <c r="I91" s="3">
        <v>10</v>
      </c>
      <c r="J91" s="3">
        <v>10</v>
      </c>
      <c r="K91" s="3">
        <v>10</v>
      </c>
      <c r="L91" s="2" t="str">
        <f t="shared" si="1"/>
        <v>match</v>
      </c>
      <c r="M91" s="3" t="s">
        <v>236</v>
      </c>
      <c r="N91" s="3" t="s">
        <v>572</v>
      </c>
      <c r="O91" s="3" t="s">
        <v>30</v>
      </c>
    </row>
    <row r="92" ht="37.5" spans="1:15">
      <c r="A92" s="2" t="s">
        <v>573</v>
      </c>
      <c r="B92" s="2" t="s">
        <v>40</v>
      </c>
      <c r="C92" s="2" t="s">
        <v>277</v>
      </c>
      <c r="D92" s="2" t="s">
        <v>574</v>
      </c>
      <c r="E92" s="2" t="s">
        <v>507</v>
      </c>
      <c r="F92" s="2" t="s">
        <v>575</v>
      </c>
      <c r="G92" s="2" t="s">
        <v>576</v>
      </c>
      <c r="H92" s="3" t="s">
        <v>577</v>
      </c>
      <c r="I92" s="3" t="s">
        <v>577</v>
      </c>
      <c r="J92" s="3"/>
      <c r="K92" s="3"/>
      <c r="L92" s="2" t="str">
        <f t="shared" si="1"/>
        <v>n/a</v>
      </c>
      <c r="M92" s="3" t="s">
        <v>243</v>
      </c>
      <c r="N92" s="3"/>
      <c r="O92" s="3" t="s">
        <v>30</v>
      </c>
    </row>
    <row r="93" ht="25" spans="1:15">
      <c r="A93" s="2" t="s">
        <v>578</v>
      </c>
      <c r="B93" s="2" t="s">
        <v>40</v>
      </c>
      <c r="C93" s="2" t="s">
        <v>176</v>
      </c>
      <c r="D93" s="2" t="s">
        <v>579</v>
      </c>
      <c r="E93" s="2" t="s">
        <v>580</v>
      </c>
      <c r="F93" s="2" t="s">
        <v>581</v>
      </c>
      <c r="G93" s="2" t="s">
        <v>582</v>
      </c>
      <c r="H93" s="3">
        <v>256</v>
      </c>
      <c r="I93" s="3">
        <v>256</v>
      </c>
      <c r="J93" s="3">
        <v>256</v>
      </c>
      <c r="K93" s="3">
        <v>256</v>
      </c>
      <c r="L93" s="2" t="str">
        <f t="shared" si="1"/>
        <v>match</v>
      </c>
      <c r="M93" s="3" t="s">
        <v>243</v>
      </c>
      <c r="N93" s="3"/>
      <c r="O93" s="3" t="s">
        <v>30</v>
      </c>
    </row>
    <row r="94" spans="1:15">
      <c r="A94" s="2" t="s">
        <v>583</v>
      </c>
      <c r="B94" s="2" t="s">
        <v>40</v>
      </c>
      <c r="C94" s="2" t="s">
        <v>176</v>
      </c>
      <c r="D94" s="2" t="s">
        <v>584</v>
      </c>
      <c r="E94" s="2" t="s">
        <v>585</v>
      </c>
      <c r="F94" s="2">
        <v>32</v>
      </c>
      <c r="G94" s="2" t="s">
        <v>586</v>
      </c>
      <c r="H94" s="3">
        <v>48</v>
      </c>
      <c r="I94" s="3">
        <v>64</v>
      </c>
      <c r="J94" s="3">
        <v>48</v>
      </c>
      <c r="K94" s="3">
        <v>64</v>
      </c>
      <c r="L94" s="2" t="str">
        <f t="shared" si="1"/>
        <v>match</v>
      </c>
      <c r="M94" s="3" t="s">
        <v>236</v>
      </c>
      <c r="N94" s="3" t="s">
        <v>497</v>
      </c>
      <c r="O94" s="3" t="s">
        <v>30</v>
      </c>
    </row>
    <row r="95" ht="25" spans="1:15">
      <c r="A95" s="2" t="s">
        <v>587</v>
      </c>
      <c r="B95" s="2" t="s">
        <v>40</v>
      </c>
      <c r="C95" s="2" t="s">
        <v>176</v>
      </c>
      <c r="D95" s="2" t="s">
        <v>588</v>
      </c>
      <c r="E95" s="2" t="s">
        <v>589</v>
      </c>
      <c r="F95" s="2">
        <v>32</v>
      </c>
      <c r="G95" s="2" t="s">
        <v>586</v>
      </c>
      <c r="H95" s="3">
        <v>48</v>
      </c>
      <c r="I95" s="3">
        <v>64</v>
      </c>
      <c r="J95" s="3">
        <v>48</v>
      </c>
      <c r="K95" s="3">
        <v>64</v>
      </c>
      <c r="L95" s="2" t="str">
        <f t="shared" si="1"/>
        <v>match</v>
      </c>
      <c r="M95" s="3" t="s">
        <v>236</v>
      </c>
      <c r="N95" s="3" t="s">
        <v>590</v>
      </c>
      <c r="O95" s="3" t="s">
        <v>32</v>
      </c>
    </row>
    <row r="96" spans="1:15">
      <c r="A96" s="2" t="s">
        <v>591</v>
      </c>
      <c r="B96" s="2" t="s">
        <v>40</v>
      </c>
      <c r="C96" s="2" t="s">
        <v>216</v>
      </c>
      <c r="D96" s="2" t="s">
        <v>592</v>
      </c>
      <c r="E96" s="2" t="s">
        <v>593</v>
      </c>
      <c r="F96" s="2">
        <v>0.5</v>
      </c>
      <c r="G96" s="2" t="s">
        <v>594</v>
      </c>
      <c r="H96" s="3">
        <v>0.5</v>
      </c>
      <c r="I96" s="3">
        <v>0.5</v>
      </c>
      <c r="J96" s="3">
        <v>0.5</v>
      </c>
      <c r="K96" s="3">
        <v>0.5</v>
      </c>
      <c r="L96" s="2" t="str">
        <f t="shared" si="1"/>
        <v>match</v>
      </c>
      <c r="M96" s="3" t="s">
        <v>243</v>
      </c>
      <c r="N96" s="3"/>
      <c r="O96" s="3" t="s">
        <v>30</v>
      </c>
    </row>
    <row r="97" ht="25" spans="1:15">
      <c r="A97" s="2" t="s">
        <v>595</v>
      </c>
      <c r="B97" s="2" t="s">
        <v>40</v>
      </c>
      <c r="C97" s="2" t="s">
        <v>216</v>
      </c>
      <c r="D97" s="2" t="s">
        <v>596</v>
      </c>
      <c r="E97" s="2" t="s">
        <v>597</v>
      </c>
      <c r="F97" s="2">
        <v>10</v>
      </c>
      <c r="G97" s="2" t="s">
        <v>598</v>
      </c>
      <c r="H97" s="3">
        <v>10</v>
      </c>
      <c r="I97" s="3">
        <v>10</v>
      </c>
      <c r="J97" s="3">
        <v>10</v>
      </c>
      <c r="K97" s="3">
        <v>10</v>
      </c>
      <c r="L97" s="2" t="str">
        <f t="shared" si="1"/>
        <v>match</v>
      </c>
      <c r="M97" s="3" t="s">
        <v>243</v>
      </c>
      <c r="N97" s="3"/>
      <c r="O97" s="3" t="s">
        <v>30</v>
      </c>
    </row>
    <row r="98" ht="25" spans="1:15">
      <c r="A98" s="2" t="s">
        <v>599</v>
      </c>
      <c r="B98" s="2" t="s">
        <v>40</v>
      </c>
      <c r="C98" s="2" t="s">
        <v>216</v>
      </c>
      <c r="D98" s="2" t="s">
        <v>600</v>
      </c>
      <c r="E98" s="2" t="s">
        <v>507</v>
      </c>
      <c r="F98" s="2" t="s">
        <v>601</v>
      </c>
      <c r="G98" s="2" t="s">
        <v>602</v>
      </c>
      <c r="H98" s="3" t="s">
        <v>86</v>
      </c>
      <c r="I98" s="3" t="s">
        <v>86</v>
      </c>
      <c r="J98" s="3"/>
      <c r="K98" s="3"/>
      <c r="L98" s="2" t="str">
        <f t="shared" si="1"/>
        <v>n/a</v>
      </c>
      <c r="M98" s="3" t="s">
        <v>243</v>
      </c>
      <c r="N98" s="3"/>
      <c r="O98" s="3" t="s">
        <v>30</v>
      </c>
    </row>
    <row r="99" spans="1:15">
      <c r="A99" s="2" t="s">
        <v>603</v>
      </c>
      <c r="B99" s="2" t="s">
        <v>40</v>
      </c>
      <c r="C99" s="2" t="s">
        <v>130</v>
      </c>
      <c r="D99" s="2" t="s">
        <v>130</v>
      </c>
      <c r="E99" s="2" t="s">
        <v>604</v>
      </c>
      <c r="F99" s="2" t="s">
        <v>605</v>
      </c>
      <c r="G99" s="2" t="s">
        <v>606</v>
      </c>
      <c r="H99" s="3" t="s">
        <v>605</v>
      </c>
      <c r="I99" s="3" t="s">
        <v>605</v>
      </c>
      <c r="J99" s="3" t="s">
        <v>605</v>
      </c>
      <c r="K99" s="3" t="s">
        <v>605</v>
      </c>
      <c r="L99" s="2" t="str">
        <f t="shared" si="1"/>
        <v>match</v>
      </c>
      <c r="M99" s="3" t="s">
        <v>243</v>
      </c>
      <c r="N99" s="3"/>
      <c r="O99" s="3" t="s">
        <v>30</v>
      </c>
    </row>
    <row r="100" spans="1:15">
      <c r="A100" s="2" t="s">
        <v>607</v>
      </c>
      <c r="B100" s="2" t="s">
        <v>40</v>
      </c>
      <c r="C100" s="2" t="s">
        <v>130</v>
      </c>
      <c r="D100" s="2" t="s">
        <v>295</v>
      </c>
      <c r="E100" s="2" t="s">
        <v>196</v>
      </c>
      <c r="F100" s="2">
        <v>0.001</v>
      </c>
      <c r="G100" s="2" t="s">
        <v>608</v>
      </c>
      <c r="H100" s="3">
        <v>0.001</v>
      </c>
      <c r="I100" s="3">
        <v>0.001</v>
      </c>
      <c r="J100" s="3">
        <v>0.001</v>
      </c>
      <c r="K100" s="3">
        <v>0.001</v>
      </c>
      <c r="L100" s="2" t="str">
        <f t="shared" si="1"/>
        <v>match</v>
      </c>
      <c r="M100" s="3" t="s">
        <v>243</v>
      </c>
      <c r="N100" s="3"/>
      <c r="O100" s="3" t="s">
        <v>30</v>
      </c>
    </row>
    <row r="101" ht="25" spans="1:15">
      <c r="A101" s="2" t="s">
        <v>609</v>
      </c>
      <c r="B101" s="2" t="s">
        <v>40</v>
      </c>
      <c r="C101" s="2" t="s">
        <v>137</v>
      </c>
      <c r="D101" s="2" t="s">
        <v>443</v>
      </c>
      <c r="E101" s="2" t="s">
        <v>203</v>
      </c>
      <c r="F101" s="2" t="s">
        <v>610</v>
      </c>
      <c r="G101" s="2" t="s">
        <v>611</v>
      </c>
      <c r="H101" s="3" t="s">
        <v>389</v>
      </c>
      <c r="I101" s="3" t="s">
        <v>389</v>
      </c>
      <c r="J101" s="3" t="s">
        <v>389</v>
      </c>
      <c r="K101" s="3" t="s">
        <v>389</v>
      </c>
      <c r="L101" s="2" t="str">
        <f t="shared" si="1"/>
        <v>match</v>
      </c>
      <c r="M101" s="3" t="s">
        <v>243</v>
      </c>
      <c r="N101" s="3"/>
      <c r="O101" s="3" t="s">
        <v>30</v>
      </c>
    </row>
    <row r="102" ht="25" spans="1:15">
      <c r="A102" s="2" t="s">
        <v>612</v>
      </c>
      <c r="B102" s="2" t="s">
        <v>40</v>
      </c>
      <c r="C102" s="2" t="s">
        <v>130</v>
      </c>
      <c r="D102" s="2" t="s">
        <v>613</v>
      </c>
      <c r="E102" s="2" t="s">
        <v>192</v>
      </c>
      <c r="F102" s="2" t="s">
        <v>614</v>
      </c>
      <c r="G102" s="2" t="s">
        <v>615</v>
      </c>
      <c r="H102" s="3">
        <v>0</v>
      </c>
      <c r="I102" s="3">
        <v>0</v>
      </c>
      <c r="J102" s="3">
        <v>0</v>
      </c>
      <c r="K102" s="3">
        <v>0</v>
      </c>
      <c r="L102" s="2" t="str">
        <f t="shared" si="1"/>
        <v>match</v>
      </c>
      <c r="M102" s="3" t="s">
        <v>243</v>
      </c>
      <c r="N102" s="3"/>
      <c r="O102" s="3" t="s">
        <v>30</v>
      </c>
    </row>
    <row r="103" spans="1:15">
      <c r="A103" s="2" t="s">
        <v>616</v>
      </c>
      <c r="B103" s="2" t="s">
        <v>40</v>
      </c>
      <c r="C103" s="2" t="s">
        <v>130</v>
      </c>
      <c r="D103" s="2" t="s">
        <v>146</v>
      </c>
      <c r="E103" s="2" t="s">
        <v>210</v>
      </c>
      <c r="F103" s="2" t="s">
        <v>617</v>
      </c>
      <c r="G103" s="2" t="s">
        <v>618</v>
      </c>
      <c r="H103" s="3" t="s">
        <v>308</v>
      </c>
      <c r="I103" s="3" t="s">
        <v>308</v>
      </c>
      <c r="J103" s="3" t="s">
        <v>308</v>
      </c>
      <c r="K103" s="3" t="s">
        <v>308</v>
      </c>
      <c r="L103" s="2" t="str">
        <f t="shared" si="1"/>
        <v>match</v>
      </c>
      <c r="M103" s="3" t="s">
        <v>243</v>
      </c>
      <c r="N103" s="3"/>
      <c r="O103" s="3" t="s">
        <v>30</v>
      </c>
    </row>
    <row r="104" spans="1:15">
      <c r="A104" s="2" t="s">
        <v>619</v>
      </c>
      <c r="B104" s="2" t="s">
        <v>40</v>
      </c>
      <c r="C104" s="2" t="s">
        <v>107</v>
      </c>
      <c r="D104" s="2" t="s">
        <v>212</v>
      </c>
      <c r="E104" s="2" t="s">
        <v>213</v>
      </c>
      <c r="F104" s="2" t="s">
        <v>429</v>
      </c>
      <c r="G104" s="2" t="s">
        <v>608</v>
      </c>
      <c r="H104" s="3">
        <v>16</v>
      </c>
      <c r="I104" s="3">
        <v>8</v>
      </c>
      <c r="J104" s="3">
        <v>8</v>
      </c>
      <c r="K104" s="3">
        <v>8</v>
      </c>
      <c r="L104" s="2" t="str">
        <f t="shared" si="1"/>
        <v>differs</v>
      </c>
      <c r="M104" s="3" t="s">
        <v>236</v>
      </c>
      <c r="N104" s="3" t="s">
        <v>620</v>
      </c>
      <c r="O104" s="3" t="s">
        <v>33</v>
      </c>
    </row>
    <row r="105" ht="25" spans="1:15">
      <c r="A105" s="2" t="s">
        <v>621</v>
      </c>
      <c r="B105" s="2" t="s">
        <v>40</v>
      </c>
      <c r="C105" s="2" t="s">
        <v>114</v>
      </c>
      <c r="D105" s="2" t="s">
        <v>622</v>
      </c>
      <c r="E105" s="2" t="s">
        <v>223</v>
      </c>
      <c r="F105" s="2" t="s">
        <v>623</v>
      </c>
      <c r="G105" s="2" t="s">
        <v>624</v>
      </c>
      <c r="H105" s="3">
        <v>150</v>
      </c>
      <c r="I105" s="3">
        <v>150</v>
      </c>
      <c r="J105" s="3">
        <v>150</v>
      </c>
      <c r="K105" s="3">
        <v>150</v>
      </c>
      <c r="L105" s="2" t="str">
        <f t="shared" si="1"/>
        <v>match</v>
      </c>
      <c r="M105" s="3" t="s">
        <v>236</v>
      </c>
      <c r="N105" s="3" t="s">
        <v>625</v>
      </c>
      <c r="O105" s="3" t="s">
        <v>30</v>
      </c>
    </row>
    <row r="106" spans="1:15">
      <c r="A106" s="2" t="s">
        <v>626</v>
      </c>
      <c r="B106" s="2" t="s">
        <v>40</v>
      </c>
      <c r="C106" s="2" t="s">
        <v>114</v>
      </c>
      <c r="D106" s="2" t="s">
        <v>319</v>
      </c>
      <c r="E106" s="2" t="s">
        <v>320</v>
      </c>
      <c r="F106" s="2" t="s">
        <v>173</v>
      </c>
      <c r="G106" s="2"/>
      <c r="H106" s="3">
        <v>28000</v>
      </c>
      <c r="I106" s="3">
        <v>41568</v>
      </c>
      <c r="J106" s="3">
        <v>10000</v>
      </c>
      <c r="K106" s="3">
        <v>10000</v>
      </c>
      <c r="L106" s="2" t="str">
        <f t="shared" si="1"/>
        <v>differs</v>
      </c>
      <c r="M106" s="3" t="s">
        <v>236</v>
      </c>
      <c r="N106" s="3" t="s">
        <v>400</v>
      </c>
      <c r="O106" s="3" t="s">
        <v>33</v>
      </c>
    </row>
  </sheetData>
  <autoFilter xmlns:etc="http://www.wps.cn/officeDocument/2017/etCustomData" ref="A1:O106" etc:filterBottomFollowUsedRange="0">
    <extLst/>
  </autoFilter>
  <conditionalFormatting sqref="L2:L106">
    <cfRule type="expression" dxfId="0" priority="7">
      <formula>L2="differs"</formula>
    </cfRule>
    <cfRule type="expression" dxfId="2" priority="8">
      <formula>L2="match"</formula>
    </cfRule>
  </conditionalFormatting>
  <conditionalFormatting sqref="O2:O106">
    <cfRule type="expression" dxfId="0" priority="2">
      <formula>O2="To fix"</formula>
    </cfRule>
    <cfRule type="expression" dxfId="0" priority="3">
      <formula>O2="To implement"</formula>
    </cfRule>
    <cfRule type="expression" dxfId="1" priority="4">
      <formula>O2="To confirm"</formula>
    </cfRule>
    <cfRule type="expression" dxfId="2" priority="5">
      <formula>O2="Final"</formula>
    </cfRule>
    <cfRule type="expression" dxfId="3" priority="6">
      <formula>O2="Decided (user)"</formula>
    </cfRule>
  </conditionalFormatting>
  <dataValidations count="2">
    <dataValidation type="list" allowBlank="1" sqref="M2:M106">
      <formula1>"Yes,No,n/a"</formula1>
    </dataValidation>
    <dataValidation type="list" allowBlank="1" sqref="O2:O106">
      <formula1>"Final,Decided (user),To confirm,To fix,To implement"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 outlineLevelCol="7"/>
  <cols>
    <col min="1" max="1" width="7" customWidth="1"/>
    <col min="2" max="2" width="10" customWidth="1"/>
    <col min="3" max="3" width="28" customWidth="1"/>
    <col min="4" max="4" width="26" customWidth="1"/>
    <col min="5" max="5" width="30" customWidth="1"/>
    <col min="6" max="6" width="22" customWidth="1"/>
    <col min="7" max="7" width="50" customWidth="1"/>
    <col min="8" max="8" width="14" customWidth="1"/>
  </cols>
  <sheetData>
    <row r="1" ht="30" customHeight="1" spans="1:8">
      <c r="A1" s="1" t="s">
        <v>48</v>
      </c>
      <c r="B1" s="1" t="s">
        <v>27</v>
      </c>
      <c r="C1" s="1" t="s">
        <v>157</v>
      </c>
      <c r="D1" s="1" t="s">
        <v>158</v>
      </c>
      <c r="E1" s="1" t="s">
        <v>627</v>
      </c>
      <c r="F1" s="1" t="s">
        <v>628</v>
      </c>
      <c r="G1" s="1" t="s">
        <v>629</v>
      </c>
      <c r="H1" s="1" t="s">
        <v>20</v>
      </c>
    </row>
    <row r="2" spans="1:8">
      <c r="A2" s="2" t="s">
        <v>630</v>
      </c>
      <c r="B2" s="2" t="s">
        <v>62</v>
      </c>
      <c r="C2" s="2" t="s">
        <v>631</v>
      </c>
      <c r="D2" s="2" t="s">
        <v>632</v>
      </c>
      <c r="E2" s="3" t="s">
        <v>633</v>
      </c>
      <c r="F2" s="3" t="s">
        <v>634</v>
      </c>
      <c r="G2" s="3" t="s">
        <v>635</v>
      </c>
      <c r="H2" s="3" t="s">
        <v>30</v>
      </c>
    </row>
    <row r="3" spans="1:8">
      <c r="A3" s="2" t="s">
        <v>636</v>
      </c>
      <c r="B3" s="2" t="s">
        <v>62</v>
      </c>
      <c r="C3" s="2" t="s">
        <v>637</v>
      </c>
      <c r="D3" s="2" t="s">
        <v>223</v>
      </c>
      <c r="E3" s="3">
        <v>25</v>
      </c>
      <c r="F3" s="3">
        <v>25</v>
      </c>
      <c r="G3" s="3" t="s">
        <v>638</v>
      </c>
      <c r="H3" s="3" t="s">
        <v>30</v>
      </c>
    </row>
    <row r="4" spans="1:8">
      <c r="A4" s="2" t="s">
        <v>639</v>
      </c>
      <c r="B4" s="2" t="s">
        <v>62</v>
      </c>
      <c r="C4" s="2" t="s">
        <v>212</v>
      </c>
      <c r="D4" s="2" t="s">
        <v>213</v>
      </c>
      <c r="E4" s="3">
        <v>8</v>
      </c>
      <c r="F4" s="3">
        <v>8</v>
      </c>
      <c r="G4" s="3" t="s">
        <v>638</v>
      </c>
      <c r="H4" s="3" t="s">
        <v>30</v>
      </c>
    </row>
    <row r="5" ht="25" spans="1:8">
      <c r="A5" s="2" t="s">
        <v>640</v>
      </c>
      <c r="B5" s="2" t="s">
        <v>62</v>
      </c>
      <c r="C5" s="2" t="s">
        <v>319</v>
      </c>
      <c r="D5" s="2" t="s">
        <v>320</v>
      </c>
      <c r="E5" s="3" t="s">
        <v>641</v>
      </c>
      <c r="F5" s="3">
        <v>50000</v>
      </c>
      <c r="G5" s="3" t="s">
        <v>642</v>
      </c>
      <c r="H5" s="3" t="s">
        <v>32</v>
      </c>
    </row>
    <row r="6" spans="1:8">
      <c r="A6" s="2" t="s">
        <v>643</v>
      </c>
      <c r="B6" s="2" t="s">
        <v>134</v>
      </c>
      <c r="C6" s="2" t="s">
        <v>146</v>
      </c>
      <c r="D6" s="2" t="s">
        <v>210</v>
      </c>
      <c r="E6" s="3" t="s">
        <v>308</v>
      </c>
      <c r="F6" s="3">
        <v>1</v>
      </c>
      <c r="G6" s="3" t="s">
        <v>644</v>
      </c>
      <c r="H6" s="3" t="s">
        <v>33</v>
      </c>
    </row>
    <row r="7" spans="1:8">
      <c r="A7" s="2" t="s">
        <v>645</v>
      </c>
      <c r="B7" s="2" t="s">
        <v>35</v>
      </c>
      <c r="C7" s="2" t="s">
        <v>195</v>
      </c>
      <c r="D7" s="2" t="s">
        <v>196</v>
      </c>
      <c r="E7" s="3" t="s">
        <v>646</v>
      </c>
      <c r="F7" s="3" t="s">
        <v>646</v>
      </c>
      <c r="G7" s="3"/>
      <c r="H7" s="3" t="s">
        <v>30</v>
      </c>
    </row>
    <row r="8" ht="25" spans="1:8">
      <c r="A8" s="2" t="s">
        <v>647</v>
      </c>
      <c r="B8" s="2" t="s">
        <v>35</v>
      </c>
      <c r="C8" s="2" t="s">
        <v>648</v>
      </c>
      <c r="D8" s="2" t="s">
        <v>178</v>
      </c>
      <c r="E8" s="3" t="s">
        <v>181</v>
      </c>
      <c r="F8" s="3" t="s">
        <v>180</v>
      </c>
      <c r="G8" s="3" t="s">
        <v>649</v>
      </c>
      <c r="H8" s="3" t="s">
        <v>32</v>
      </c>
    </row>
    <row r="9" spans="1:8">
      <c r="A9" s="2" t="s">
        <v>650</v>
      </c>
      <c r="B9" s="2" t="s">
        <v>36</v>
      </c>
      <c r="C9" s="2" t="s">
        <v>295</v>
      </c>
      <c r="D9" s="2" t="s">
        <v>196</v>
      </c>
      <c r="E9" s="3">
        <v>0.0001</v>
      </c>
      <c r="F9" s="3">
        <v>0.0001</v>
      </c>
      <c r="G9" s="3" t="s">
        <v>651</v>
      </c>
      <c r="H9" s="3" t="s">
        <v>30</v>
      </c>
    </row>
    <row r="10" ht="25" spans="1:8">
      <c r="A10" s="2" t="s">
        <v>652</v>
      </c>
      <c r="B10" s="2" t="s">
        <v>36</v>
      </c>
      <c r="C10" s="2" t="s">
        <v>653</v>
      </c>
      <c r="D10" s="2" t="s">
        <v>654</v>
      </c>
      <c r="E10" s="3" t="s">
        <v>655</v>
      </c>
      <c r="F10" s="3" t="s">
        <v>357</v>
      </c>
      <c r="G10" s="3"/>
      <c r="H10" s="3" t="s">
        <v>30</v>
      </c>
    </row>
    <row r="11" spans="1:8">
      <c r="A11" s="2" t="s">
        <v>656</v>
      </c>
      <c r="B11" s="2" t="s">
        <v>37</v>
      </c>
      <c r="C11" s="2" t="s">
        <v>295</v>
      </c>
      <c r="D11" s="2" t="s">
        <v>196</v>
      </c>
      <c r="E11" s="3">
        <v>3e-5</v>
      </c>
      <c r="F11" s="3">
        <v>3e-5</v>
      </c>
      <c r="G11" s="3" t="s">
        <v>651</v>
      </c>
      <c r="H11" s="3" t="s">
        <v>30</v>
      </c>
    </row>
    <row r="12" spans="1:8">
      <c r="A12" s="2" t="s">
        <v>657</v>
      </c>
      <c r="B12" s="2" t="s">
        <v>38</v>
      </c>
      <c r="C12" s="2" t="s">
        <v>295</v>
      </c>
      <c r="D12" s="2" t="s">
        <v>196</v>
      </c>
      <c r="E12" s="3">
        <v>0.001</v>
      </c>
      <c r="F12" s="3">
        <v>0.001</v>
      </c>
      <c r="G12" s="3" t="s">
        <v>651</v>
      </c>
      <c r="H12" s="3" t="s">
        <v>30</v>
      </c>
    </row>
    <row r="13" ht="25" spans="1:8">
      <c r="A13" s="2" t="s">
        <v>658</v>
      </c>
      <c r="B13" s="2" t="s">
        <v>38</v>
      </c>
      <c r="C13" s="2" t="s">
        <v>653</v>
      </c>
      <c r="D13" s="2" t="s">
        <v>659</v>
      </c>
      <c r="E13" s="3" t="s">
        <v>660</v>
      </c>
      <c r="F13" s="3" t="s">
        <v>357</v>
      </c>
      <c r="G13" s="3"/>
      <c r="H13" s="3" t="s">
        <v>30</v>
      </c>
    </row>
    <row r="14" spans="1:8">
      <c r="A14" s="2" t="s">
        <v>661</v>
      </c>
      <c r="B14" s="2" t="s">
        <v>39</v>
      </c>
      <c r="C14" s="2" t="s">
        <v>295</v>
      </c>
      <c r="D14" s="2" t="s">
        <v>196</v>
      </c>
      <c r="E14" s="3">
        <v>2e-5</v>
      </c>
      <c r="F14" s="3">
        <v>2e-5</v>
      </c>
      <c r="G14" s="3" t="s">
        <v>651</v>
      </c>
      <c r="H14" s="3" t="s">
        <v>30</v>
      </c>
    </row>
    <row r="15" spans="1:8">
      <c r="A15" s="2" t="s">
        <v>662</v>
      </c>
      <c r="B15" s="2" t="s">
        <v>39</v>
      </c>
      <c r="C15" s="2" t="s">
        <v>653</v>
      </c>
      <c r="D15" s="2" t="s">
        <v>663</v>
      </c>
      <c r="E15" s="3" t="s">
        <v>664</v>
      </c>
      <c r="F15" s="3" t="s">
        <v>665</v>
      </c>
      <c r="G15" s="3"/>
      <c r="H15" s="3" t="s">
        <v>30</v>
      </c>
    </row>
    <row r="16" spans="1:8">
      <c r="A16" s="2" t="s">
        <v>666</v>
      </c>
      <c r="B16" s="2" t="s">
        <v>40</v>
      </c>
      <c r="C16" s="2" t="s">
        <v>295</v>
      </c>
      <c r="D16" s="2" t="s">
        <v>196</v>
      </c>
      <c r="E16" s="3">
        <v>0.0001</v>
      </c>
      <c r="F16" s="3"/>
      <c r="G16" s="3" t="s">
        <v>651</v>
      </c>
      <c r="H16" s="3" t="s">
        <v>34</v>
      </c>
    </row>
    <row r="17" ht="25" spans="1:8">
      <c r="A17" s="2" t="s">
        <v>667</v>
      </c>
      <c r="B17" s="2" t="s">
        <v>40</v>
      </c>
      <c r="C17" s="2" t="s">
        <v>600</v>
      </c>
      <c r="D17" s="2" t="s">
        <v>668</v>
      </c>
      <c r="E17" s="3" t="s">
        <v>669</v>
      </c>
      <c r="F17" s="3"/>
      <c r="G17" s="3" t="s">
        <v>670</v>
      </c>
      <c r="H17" s="3" t="s">
        <v>34</v>
      </c>
    </row>
    <row r="18" ht="25" spans="1:8">
      <c r="A18" s="2" t="s">
        <v>671</v>
      </c>
      <c r="B18" s="2" t="s">
        <v>40</v>
      </c>
      <c r="C18" s="2" t="s">
        <v>672</v>
      </c>
      <c r="D18" s="2" t="s">
        <v>673</v>
      </c>
      <c r="E18" s="3" t="s">
        <v>674</v>
      </c>
      <c r="F18" s="3" t="s">
        <v>675</v>
      </c>
      <c r="G18" s="3"/>
      <c r="H18" s="3" t="s">
        <v>34</v>
      </c>
    </row>
  </sheetData>
  <autoFilter xmlns:etc="http://www.wps.cn/officeDocument/2017/etCustomData" ref="A1:H18" etc:filterBottomFollowUsedRange="0">
    <extLst/>
  </autoFilter>
  <conditionalFormatting sqref="H2:H18">
    <cfRule type="expression" dxfId="0" priority="2">
      <formula>H2="To fix"</formula>
    </cfRule>
    <cfRule type="expression" dxfId="0" priority="3">
      <formula>H2="To implement"</formula>
    </cfRule>
    <cfRule type="expression" dxfId="1" priority="4">
      <formula>H2="To confirm"</formula>
    </cfRule>
    <cfRule type="expression" dxfId="2" priority="5">
      <formula>H2="Final"</formula>
    </cfRule>
    <cfRule type="expression" dxfId="3" priority="6">
      <formula>H2="Decided (user)"</formula>
    </cfRule>
  </conditionalFormatting>
  <dataValidations count="1">
    <dataValidation type="list" allowBlank="1" sqref="H2:H18">
      <formula1>"Final,Decided (user),To confirm,To fix,To implement"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7" customWidth="1"/>
    <col min="2" max="2" width="10" customWidth="1"/>
    <col min="3" max="3" width="9" customWidth="1"/>
    <col min="4" max="8" width="28" customWidth="1"/>
    <col min="9" max="9" width="46" customWidth="1"/>
    <col min="10" max="10" width="14" customWidth="1"/>
  </cols>
  <sheetData>
    <row r="1" ht="30" customHeight="1" spans="1:10">
      <c r="A1" s="1" t="s">
        <v>48</v>
      </c>
      <c r="B1" s="1" t="s">
        <v>27</v>
      </c>
      <c r="C1" s="1" t="s">
        <v>676</v>
      </c>
      <c r="D1" s="1" t="s">
        <v>157</v>
      </c>
      <c r="E1" s="1" t="s">
        <v>158</v>
      </c>
      <c r="F1" s="1" t="s">
        <v>51</v>
      </c>
      <c r="G1" s="1" t="s">
        <v>52</v>
      </c>
      <c r="H1" s="1" t="s">
        <v>53</v>
      </c>
      <c r="I1" s="1" t="s">
        <v>166</v>
      </c>
      <c r="J1" s="1" t="s">
        <v>20</v>
      </c>
    </row>
    <row r="2" ht="37.5" spans="1:10">
      <c r="A2" s="2" t="s">
        <v>677</v>
      </c>
      <c r="B2" s="2" t="s">
        <v>62</v>
      </c>
      <c r="C2" s="2" t="s">
        <v>678</v>
      </c>
      <c r="D2" s="2" t="s">
        <v>679</v>
      </c>
      <c r="E2" s="2" t="s">
        <v>680</v>
      </c>
      <c r="F2" s="3" t="s">
        <v>681</v>
      </c>
      <c r="G2" s="3" t="s">
        <v>86</v>
      </c>
      <c r="H2" s="3" t="s">
        <v>86</v>
      </c>
      <c r="I2" s="3" t="s">
        <v>682</v>
      </c>
      <c r="J2" s="3" t="s">
        <v>30</v>
      </c>
    </row>
    <row r="3" ht="25" spans="1:10">
      <c r="A3" s="2" t="s">
        <v>683</v>
      </c>
      <c r="B3" s="2" t="s">
        <v>62</v>
      </c>
      <c r="C3" s="2" t="s">
        <v>678</v>
      </c>
      <c r="D3" s="2" t="s">
        <v>684</v>
      </c>
      <c r="E3" s="2" t="s">
        <v>685</v>
      </c>
      <c r="F3" s="3" t="s">
        <v>686</v>
      </c>
      <c r="G3" s="3" t="s">
        <v>687</v>
      </c>
      <c r="H3" s="3" t="s">
        <v>688</v>
      </c>
      <c r="I3" s="3"/>
      <c r="J3" s="3" t="s">
        <v>30</v>
      </c>
    </row>
    <row r="4" spans="1:10">
      <c r="A4" s="2" t="s">
        <v>689</v>
      </c>
      <c r="B4" s="2" t="s">
        <v>62</v>
      </c>
      <c r="C4" s="2" t="s">
        <v>678</v>
      </c>
      <c r="D4" s="2" t="s">
        <v>690</v>
      </c>
      <c r="E4" s="2" t="s">
        <v>691</v>
      </c>
      <c r="F4" s="3" t="s">
        <v>357</v>
      </c>
      <c r="G4" s="3" t="s">
        <v>357</v>
      </c>
      <c r="H4" s="3" t="s">
        <v>357</v>
      </c>
      <c r="I4" s="3"/>
      <c r="J4" s="3" t="s">
        <v>30</v>
      </c>
    </row>
    <row r="5" spans="1:10">
      <c r="A5" s="2" t="s">
        <v>692</v>
      </c>
      <c r="B5" s="2" t="s">
        <v>62</v>
      </c>
      <c r="C5" s="2" t="s">
        <v>678</v>
      </c>
      <c r="D5" s="2" t="s">
        <v>693</v>
      </c>
      <c r="E5" s="2" t="s">
        <v>694</v>
      </c>
      <c r="F5" s="3">
        <v>1</v>
      </c>
      <c r="G5" s="3">
        <v>5</v>
      </c>
      <c r="H5" s="3">
        <v>5</v>
      </c>
      <c r="I5" s="3"/>
      <c r="J5" s="3" t="s">
        <v>30</v>
      </c>
    </row>
    <row r="6" spans="1:10">
      <c r="A6" s="2" t="s">
        <v>695</v>
      </c>
      <c r="B6" s="2" t="s">
        <v>62</v>
      </c>
      <c r="C6" s="2" t="s">
        <v>696</v>
      </c>
      <c r="D6" s="2" t="s">
        <v>697</v>
      </c>
      <c r="E6" s="2" t="s">
        <v>698</v>
      </c>
      <c r="F6" s="3">
        <v>5</v>
      </c>
      <c r="G6" s="3">
        <v>5</v>
      </c>
      <c r="H6" s="3">
        <v>5</v>
      </c>
      <c r="I6" s="3"/>
      <c r="J6" s="3" t="s">
        <v>30</v>
      </c>
    </row>
    <row r="7" ht="25" spans="1:10">
      <c r="A7" s="2" t="s">
        <v>699</v>
      </c>
      <c r="B7" s="2" t="s">
        <v>62</v>
      </c>
      <c r="C7" s="2" t="s">
        <v>696</v>
      </c>
      <c r="D7" s="2" t="s">
        <v>700</v>
      </c>
      <c r="E7" s="2" t="s">
        <v>701</v>
      </c>
      <c r="F7" s="3" t="s">
        <v>702</v>
      </c>
      <c r="G7" s="3" t="s">
        <v>703</v>
      </c>
      <c r="H7" s="3" t="s">
        <v>704</v>
      </c>
      <c r="I7" s="3" t="s">
        <v>705</v>
      </c>
      <c r="J7" s="3" t="s">
        <v>33</v>
      </c>
    </row>
    <row r="8" ht="25" spans="1:10">
      <c r="A8" s="2" t="s">
        <v>706</v>
      </c>
      <c r="B8" s="2" t="s">
        <v>62</v>
      </c>
      <c r="C8" s="2" t="s">
        <v>696</v>
      </c>
      <c r="D8" s="2" t="s">
        <v>707</v>
      </c>
      <c r="E8" s="2" t="s">
        <v>708</v>
      </c>
      <c r="F8" s="3" t="s">
        <v>357</v>
      </c>
      <c r="G8" s="3" t="s">
        <v>709</v>
      </c>
      <c r="H8" s="3" t="s">
        <v>357</v>
      </c>
      <c r="I8" s="3" t="s">
        <v>710</v>
      </c>
      <c r="J8" s="3" t="s">
        <v>30</v>
      </c>
    </row>
    <row r="9" spans="1:10">
      <c r="A9" s="2" t="s">
        <v>711</v>
      </c>
      <c r="B9" s="2" t="s">
        <v>62</v>
      </c>
      <c r="C9" s="2" t="s">
        <v>712</v>
      </c>
      <c r="D9" s="2" t="s">
        <v>713</v>
      </c>
      <c r="E9" s="2" t="s">
        <v>685</v>
      </c>
      <c r="F9" s="3" t="s">
        <v>714</v>
      </c>
      <c r="G9" s="3" t="s">
        <v>143</v>
      </c>
      <c r="H9" s="3" t="s">
        <v>715</v>
      </c>
      <c r="I9" s="3" t="s">
        <v>716</v>
      </c>
      <c r="J9" s="3" t="s">
        <v>30</v>
      </c>
    </row>
    <row r="10" ht="25" spans="1:10">
      <c r="A10" s="2" t="s">
        <v>717</v>
      </c>
      <c r="B10" s="2" t="s">
        <v>62</v>
      </c>
      <c r="C10" s="2" t="s">
        <v>712</v>
      </c>
      <c r="D10" s="2" t="s">
        <v>718</v>
      </c>
      <c r="E10" s="2" t="s">
        <v>719</v>
      </c>
      <c r="F10" s="3" t="s">
        <v>720</v>
      </c>
      <c r="G10" s="3" t="s">
        <v>173</v>
      </c>
      <c r="H10" s="3" t="s">
        <v>86</v>
      </c>
      <c r="I10" s="3" t="s">
        <v>721</v>
      </c>
      <c r="J10" s="3" t="s">
        <v>30</v>
      </c>
    </row>
    <row r="11" ht="25" spans="1:10">
      <c r="A11" s="2" t="s">
        <v>722</v>
      </c>
      <c r="B11" s="2" t="s">
        <v>35</v>
      </c>
      <c r="C11" s="2" t="s">
        <v>678</v>
      </c>
      <c r="D11" s="2" t="s">
        <v>723</v>
      </c>
      <c r="E11" s="2"/>
      <c r="F11" s="3" t="s">
        <v>724</v>
      </c>
      <c r="G11" s="3" t="s">
        <v>725</v>
      </c>
      <c r="H11" s="3" t="s">
        <v>726</v>
      </c>
      <c r="I11" s="3"/>
      <c r="J11" s="3" t="s">
        <v>30</v>
      </c>
    </row>
    <row r="12" spans="1:10">
      <c r="A12" s="2" t="s">
        <v>727</v>
      </c>
      <c r="B12" s="2" t="s">
        <v>35</v>
      </c>
      <c r="C12" s="2" t="s">
        <v>712</v>
      </c>
      <c r="D12" s="2" t="s">
        <v>728</v>
      </c>
      <c r="E12" s="2"/>
      <c r="F12" s="3" t="s">
        <v>729</v>
      </c>
      <c r="G12" s="3" t="s">
        <v>730</v>
      </c>
      <c r="H12" s="3" t="s">
        <v>726</v>
      </c>
      <c r="I12" s="3"/>
      <c r="J12" s="3" t="s">
        <v>30</v>
      </c>
    </row>
    <row r="13" spans="1:10">
      <c r="A13" s="2" t="s">
        <v>731</v>
      </c>
      <c r="B13" s="2" t="s">
        <v>36</v>
      </c>
      <c r="C13" s="2" t="s">
        <v>678</v>
      </c>
      <c r="D13" s="2" t="s">
        <v>723</v>
      </c>
      <c r="E13" s="2" t="s">
        <v>732</v>
      </c>
      <c r="F13" s="3" t="s">
        <v>733</v>
      </c>
      <c r="G13" s="3" t="s">
        <v>734</v>
      </c>
      <c r="H13" s="3" t="s">
        <v>735</v>
      </c>
      <c r="I13" s="3"/>
      <c r="J13" s="3" t="s">
        <v>30</v>
      </c>
    </row>
    <row r="14" spans="1:10">
      <c r="A14" s="2" t="s">
        <v>736</v>
      </c>
      <c r="B14" s="2" t="s">
        <v>36</v>
      </c>
      <c r="C14" s="2" t="s">
        <v>712</v>
      </c>
      <c r="D14" s="2" t="s">
        <v>737</v>
      </c>
      <c r="E14" s="2" t="s">
        <v>738</v>
      </c>
      <c r="F14" s="3" t="s">
        <v>739</v>
      </c>
      <c r="G14" s="3" t="s">
        <v>173</v>
      </c>
      <c r="H14" s="3" t="s">
        <v>739</v>
      </c>
      <c r="I14" s="3"/>
      <c r="J14" s="3" t="s">
        <v>30</v>
      </c>
    </row>
    <row r="15" ht="25" spans="1:10">
      <c r="A15" s="2" t="s">
        <v>740</v>
      </c>
      <c r="B15" s="2" t="s">
        <v>37</v>
      </c>
      <c r="C15" s="2" t="s">
        <v>678</v>
      </c>
      <c r="D15" s="2" t="s">
        <v>723</v>
      </c>
      <c r="E15" s="2" t="s">
        <v>741</v>
      </c>
      <c r="F15" s="3" t="s">
        <v>742</v>
      </c>
      <c r="G15" s="3" t="s">
        <v>734</v>
      </c>
      <c r="H15" s="3" t="s">
        <v>735</v>
      </c>
      <c r="I15" s="3" t="s">
        <v>743</v>
      </c>
      <c r="J15" s="3" t="s">
        <v>30</v>
      </c>
    </row>
    <row r="16" spans="1:10">
      <c r="A16" s="2" t="s">
        <v>744</v>
      </c>
      <c r="B16" s="2" t="s">
        <v>37</v>
      </c>
      <c r="C16" s="2" t="s">
        <v>712</v>
      </c>
      <c r="D16" s="2" t="s">
        <v>737</v>
      </c>
      <c r="E16" s="2" t="s">
        <v>745</v>
      </c>
      <c r="F16" s="3" t="s">
        <v>739</v>
      </c>
      <c r="G16" s="3" t="s">
        <v>173</v>
      </c>
      <c r="H16" s="3" t="s">
        <v>739</v>
      </c>
      <c r="I16" s="3"/>
      <c r="J16" s="3" t="s">
        <v>30</v>
      </c>
    </row>
    <row r="17" spans="1:10">
      <c r="A17" s="2" t="s">
        <v>746</v>
      </c>
      <c r="B17" s="2" t="s">
        <v>38</v>
      </c>
      <c r="C17" s="2" t="s">
        <v>678</v>
      </c>
      <c r="D17" s="2" t="s">
        <v>723</v>
      </c>
      <c r="E17" s="2" t="s">
        <v>747</v>
      </c>
      <c r="F17" s="3" t="s">
        <v>748</v>
      </c>
      <c r="G17" s="3" t="s">
        <v>103</v>
      </c>
      <c r="H17" s="3" t="s">
        <v>726</v>
      </c>
      <c r="I17" s="3" t="s">
        <v>749</v>
      </c>
      <c r="J17" s="3" t="s">
        <v>34</v>
      </c>
    </row>
    <row r="18" spans="1:10">
      <c r="A18" s="2" t="s">
        <v>750</v>
      </c>
      <c r="B18" s="2" t="s">
        <v>38</v>
      </c>
      <c r="C18" s="2" t="s">
        <v>712</v>
      </c>
      <c r="D18" s="2" t="s">
        <v>737</v>
      </c>
      <c r="E18" s="2" t="s">
        <v>751</v>
      </c>
      <c r="F18" s="3" t="s">
        <v>739</v>
      </c>
      <c r="G18" s="3" t="s">
        <v>173</v>
      </c>
      <c r="H18" s="3" t="s">
        <v>739</v>
      </c>
      <c r="I18" s="3"/>
      <c r="J18" s="3" t="s">
        <v>30</v>
      </c>
    </row>
    <row r="19" spans="1:10">
      <c r="A19" s="2" t="s">
        <v>752</v>
      </c>
      <c r="B19" s="2" t="s">
        <v>39</v>
      </c>
      <c r="C19" s="2" t="s">
        <v>678</v>
      </c>
      <c r="D19" s="2" t="s">
        <v>753</v>
      </c>
      <c r="E19" s="2" t="s">
        <v>754</v>
      </c>
      <c r="F19" s="3" t="s">
        <v>755</v>
      </c>
      <c r="G19" s="3" t="s">
        <v>756</v>
      </c>
      <c r="H19" s="3" t="s">
        <v>757</v>
      </c>
      <c r="I19" s="3"/>
      <c r="J19" s="3" t="s">
        <v>30</v>
      </c>
    </row>
    <row r="20" spans="1:10">
      <c r="A20" s="2" t="s">
        <v>758</v>
      </c>
      <c r="B20" s="2" t="s">
        <v>39</v>
      </c>
      <c r="C20" s="2" t="s">
        <v>678</v>
      </c>
      <c r="D20" s="2" t="s">
        <v>759</v>
      </c>
      <c r="E20" s="2" t="s">
        <v>754</v>
      </c>
      <c r="F20" s="3" t="s">
        <v>760</v>
      </c>
      <c r="G20" s="3" t="s">
        <v>761</v>
      </c>
      <c r="H20" s="3" t="s">
        <v>761</v>
      </c>
      <c r="I20" s="3" t="s">
        <v>762</v>
      </c>
      <c r="J20" s="3" t="s">
        <v>32</v>
      </c>
    </row>
    <row r="21" spans="1:10">
      <c r="A21" s="2" t="s">
        <v>763</v>
      </c>
      <c r="B21" s="2" t="s">
        <v>39</v>
      </c>
      <c r="C21" s="2" t="s">
        <v>712</v>
      </c>
      <c r="D21" s="2" t="s">
        <v>737</v>
      </c>
      <c r="E21" s="2" t="s">
        <v>764</v>
      </c>
      <c r="F21" s="3" t="s">
        <v>765</v>
      </c>
      <c r="G21" s="3" t="s">
        <v>173</v>
      </c>
      <c r="H21" s="3" t="s">
        <v>739</v>
      </c>
      <c r="I21" s="3" t="s">
        <v>766</v>
      </c>
      <c r="J21" s="3" t="s">
        <v>30</v>
      </c>
    </row>
    <row r="22" ht="25" spans="1:10">
      <c r="A22" s="2" t="s">
        <v>767</v>
      </c>
      <c r="B22" s="2" t="s">
        <v>40</v>
      </c>
      <c r="C22" s="2" t="s">
        <v>678</v>
      </c>
      <c r="D22" s="2" t="s">
        <v>753</v>
      </c>
      <c r="E22" s="2" t="s">
        <v>768</v>
      </c>
      <c r="F22" s="3" t="s">
        <v>769</v>
      </c>
      <c r="G22" s="3" t="s">
        <v>770</v>
      </c>
      <c r="H22" s="3" t="s">
        <v>86</v>
      </c>
      <c r="I22" s="3" t="s">
        <v>771</v>
      </c>
      <c r="J22" s="3" t="s">
        <v>30</v>
      </c>
    </row>
    <row r="23" spans="1:10">
      <c r="A23" s="2" t="s">
        <v>772</v>
      </c>
      <c r="B23" s="2" t="s">
        <v>40</v>
      </c>
      <c r="C23" s="2" t="s">
        <v>678</v>
      </c>
      <c r="D23" s="2" t="s">
        <v>759</v>
      </c>
      <c r="E23" s="2" t="s">
        <v>768</v>
      </c>
      <c r="F23" s="3" t="s">
        <v>773</v>
      </c>
      <c r="G23" s="3" t="s">
        <v>773</v>
      </c>
      <c r="H23" s="3" t="s">
        <v>773</v>
      </c>
      <c r="I23" s="3" t="s">
        <v>774</v>
      </c>
      <c r="J23" s="3" t="s">
        <v>30</v>
      </c>
    </row>
    <row r="24" ht="37.5" spans="1:10">
      <c r="A24" s="2" t="s">
        <v>775</v>
      </c>
      <c r="B24" s="2" t="s">
        <v>40</v>
      </c>
      <c r="C24" s="2" t="s">
        <v>712</v>
      </c>
      <c r="D24" s="2" t="s">
        <v>728</v>
      </c>
      <c r="E24" s="2" t="s">
        <v>776</v>
      </c>
      <c r="F24" s="3" t="s">
        <v>777</v>
      </c>
      <c r="G24" s="3" t="s">
        <v>173</v>
      </c>
      <c r="H24" s="3" t="s">
        <v>86</v>
      </c>
      <c r="I24" s="3" t="s">
        <v>778</v>
      </c>
      <c r="J24" s="3" t="s">
        <v>30</v>
      </c>
    </row>
    <row r="25" spans="1:10">
      <c r="A25" s="2" t="s">
        <v>779</v>
      </c>
      <c r="B25" s="2" t="s">
        <v>40</v>
      </c>
      <c r="C25" s="2" t="s">
        <v>678</v>
      </c>
      <c r="D25" s="2" t="s">
        <v>780</v>
      </c>
      <c r="E25" s="2" t="s">
        <v>781</v>
      </c>
      <c r="F25" s="3" t="s">
        <v>782</v>
      </c>
      <c r="G25" s="3" t="s">
        <v>782</v>
      </c>
      <c r="H25" s="3" t="s">
        <v>782</v>
      </c>
      <c r="I25" s="3" t="s">
        <v>783</v>
      </c>
      <c r="J25" s="3" t="s">
        <v>32</v>
      </c>
    </row>
    <row r="26" spans="1:10">
      <c r="A26" s="2" t="s">
        <v>784</v>
      </c>
      <c r="B26" s="2" t="s">
        <v>785</v>
      </c>
      <c r="C26" s="2" t="s">
        <v>786</v>
      </c>
      <c r="D26" s="2" t="s">
        <v>787</v>
      </c>
      <c r="E26" s="2"/>
      <c r="F26" s="3" t="s">
        <v>788</v>
      </c>
      <c r="G26" s="3" t="s">
        <v>788</v>
      </c>
      <c r="H26" s="3" t="s">
        <v>789</v>
      </c>
      <c r="I26" s="3"/>
      <c r="J26" s="3" t="s">
        <v>30</v>
      </c>
    </row>
    <row r="27" ht="25" spans="1:10">
      <c r="A27" s="2" t="s">
        <v>790</v>
      </c>
      <c r="B27" s="2" t="s">
        <v>785</v>
      </c>
      <c r="C27" s="2" t="s">
        <v>678</v>
      </c>
      <c r="D27" s="2" t="s">
        <v>791</v>
      </c>
      <c r="E27" s="2" t="s">
        <v>792</v>
      </c>
      <c r="F27" s="3" t="s">
        <v>793</v>
      </c>
      <c r="G27" s="3" t="s">
        <v>86</v>
      </c>
      <c r="H27" s="3" t="s">
        <v>86</v>
      </c>
      <c r="I27" s="3" t="s">
        <v>794</v>
      </c>
      <c r="J27" s="3" t="s">
        <v>30</v>
      </c>
    </row>
  </sheetData>
  <autoFilter xmlns:etc="http://www.wps.cn/officeDocument/2017/etCustomData" ref="A1:J27" etc:filterBottomFollowUsedRange="0">
    <extLst/>
  </autoFilter>
  <conditionalFormatting sqref="J2:J27">
    <cfRule type="expression" dxfId="0" priority="2">
      <formula>J2="To fix"</formula>
    </cfRule>
    <cfRule type="expression" dxfId="0" priority="3">
      <formula>J2="To implement"</formula>
    </cfRule>
    <cfRule type="expression" dxfId="1" priority="4">
      <formula>J2="To confirm"</formula>
    </cfRule>
    <cfRule type="expression" dxfId="2" priority="5">
      <formula>J2="Final"</formula>
    </cfRule>
    <cfRule type="expression" dxfId="3" priority="6">
      <formula>J2="Decided (user)"</formula>
    </cfRule>
  </conditionalFormatting>
  <dataValidations count="1">
    <dataValidation type="list" allowBlank="1" sqref="J2:J27">
      <formula1>"Final,Decided (user),To confirm,To fix,To implement"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 outlineLevelCol="7"/>
  <cols>
    <col min="1" max="1" width="5" customWidth="1"/>
    <col min="2" max="2" width="36" customWidth="1"/>
    <col min="3" max="3" width="10" customWidth="1"/>
    <col min="4" max="4" width="34" customWidth="1"/>
    <col min="5" max="5" width="52" customWidth="1"/>
    <col min="6" max="6" width="12" customWidth="1"/>
    <col min="7" max="7" width="11" customWidth="1"/>
    <col min="8" max="8" width="10" customWidth="1"/>
  </cols>
  <sheetData>
    <row r="1" ht="30" customHeight="1" spans="1:8">
      <c r="A1" s="1" t="s">
        <v>795</v>
      </c>
      <c r="B1" s="1" t="s">
        <v>796</v>
      </c>
      <c r="C1" s="1" t="s">
        <v>27</v>
      </c>
      <c r="D1" s="1" t="s">
        <v>797</v>
      </c>
      <c r="E1" s="1" t="s">
        <v>798</v>
      </c>
      <c r="F1" s="1" t="s">
        <v>799</v>
      </c>
      <c r="G1" s="1" t="s">
        <v>800</v>
      </c>
      <c r="H1" s="1" t="s">
        <v>20</v>
      </c>
    </row>
    <row r="2" ht="25" spans="1:8">
      <c r="A2" s="2">
        <v>1</v>
      </c>
      <c r="B2" s="2" t="s">
        <v>801</v>
      </c>
      <c r="C2" s="2" t="s">
        <v>38</v>
      </c>
      <c r="D2" s="2" t="s">
        <v>802</v>
      </c>
      <c r="E2" s="2" t="s">
        <v>803</v>
      </c>
      <c r="F2" s="2" t="s">
        <v>804</v>
      </c>
      <c r="G2" s="3" t="s">
        <v>43</v>
      </c>
      <c r="H2" s="3" t="s">
        <v>805</v>
      </c>
    </row>
    <row r="3" spans="1:8">
      <c r="A3" s="2">
        <v>2</v>
      </c>
      <c r="B3" s="2" t="s">
        <v>806</v>
      </c>
      <c r="C3" s="2" t="s">
        <v>38</v>
      </c>
      <c r="D3" s="2" t="s">
        <v>807</v>
      </c>
      <c r="E3" s="2" t="s">
        <v>808</v>
      </c>
      <c r="F3" s="2" t="s">
        <v>809</v>
      </c>
      <c r="G3" s="3" t="s">
        <v>44</v>
      </c>
      <c r="H3" s="3" t="s">
        <v>805</v>
      </c>
    </row>
    <row r="4" ht="37.5" spans="1:8">
      <c r="A4" s="2">
        <v>3</v>
      </c>
      <c r="B4" s="2" t="s">
        <v>810</v>
      </c>
      <c r="C4" s="2" t="s">
        <v>811</v>
      </c>
      <c r="D4" s="2" t="s">
        <v>812</v>
      </c>
      <c r="E4" s="2" t="s">
        <v>813</v>
      </c>
      <c r="F4" s="2" t="s">
        <v>814</v>
      </c>
      <c r="G4" s="3" t="s">
        <v>44</v>
      </c>
      <c r="H4" s="3" t="s">
        <v>805</v>
      </c>
    </row>
    <row r="5" ht="25" spans="1:8">
      <c r="A5" s="2">
        <v>4</v>
      </c>
      <c r="B5" s="2" t="s">
        <v>815</v>
      </c>
      <c r="C5" s="2" t="s">
        <v>811</v>
      </c>
      <c r="D5" s="2" t="s">
        <v>812</v>
      </c>
      <c r="E5" s="2" t="s">
        <v>816</v>
      </c>
      <c r="F5" s="2" t="s">
        <v>119</v>
      </c>
      <c r="G5" s="3" t="s">
        <v>44</v>
      </c>
      <c r="H5" s="3" t="s">
        <v>805</v>
      </c>
    </row>
    <row r="6" ht="37.5" spans="1:8">
      <c r="A6" s="2">
        <v>5</v>
      </c>
      <c r="B6" s="2" t="s">
        <v>817</v>
      </c>
      <c r="C6" s="2" t="s">
        <v>818</v>
      </c>
      <c r="D6" s="2" t="s">
        <v>819</v>
      </c>
      <c r="E6" s="2" t="s">
        <v>820</v>
      </c>
      <c r="F6" s="2" t="s">
        <v>821</v>
      </c>
      <c r="G6" s="3" t="s">
        <v>44</v>
      </c>
      <c r="H6" s="3" t="s">
        <v>805</v>
      </c>
    </row>
    <row r="7" spans="1:8">
      <c r="A7" s="2">
        <v>6</v>
      </c>
      <c r="B7" s="2" t="s">
        <v>822</v>
      </c>
      <c r="C7" s="2" t="s">
        <v>37</v>
      </c>
      <c r="D7" s="2" t="s">
        <v>812</v>
      </c>
      <c r="E7" s="2" t="s">
        <v>823</v>
      </c>
      <c r="F7" s="2" t="s">
        <v>396</v>
      </c>
      <c r="G7" s="3" t="s">
        <v>44</v>
      </c>
      <c r="H7" s="3" t="s">
        <v>805</v>
      </c>
    </row>
    <row r="8" spans="1:8">
      <c r="A8" s="2">
        <v>7</v>
      </c>
      <c r="B8" s="2" t="s">
        <v>824</v>
      </c>
      <c r="C8" s="2" t="s">
        <v>37</v>
      </c>
      <c r="D8" s="2" t="s">
        <v>825</v>
      </c>
      <c r="E8" s="2" t="s">
        <v>826</v>
      </c>
      <c r="F8" s="2" t="s">
        <v>345</v>
      </c>
      <c r="G8" s="3" t="s">
        <v>44</v>
      </c>
      <c r="H8" s="3" t="s">
        <v>805</v>
      </c>
    </row>
    <row r="9" spans="1:8">
      <c r="A9" s="2">
        <v>8</v>
      </c>
      <c r="B9" s="2" t="s">
        <v>827</v>
      </c>
      <c r="C9" s="2" t="s">
        <v>62</v>
      </c>
      <c r="D9" s="2" t="s">
        <v>828</v>
      </c>
      <c r="E9" s="2" t="s">
        <v>829</v>
      </c>
      <c r="F9" s="2" t="s">
        <v>699</v>
      </c>
      <c r="G9" s="3" t="s">
        <v>44</v>
      </c>
      <c r="H9" s="3" t="s">
        <v>805</v>
      </c>
    </row>
    <row r="10" ht="25" spans="1:8">
      <c r="A10" s="2">
        <v>9</v>
      </c>
      <c r="B10" s="2" t="s">
        <v>830</v>
      </c>
      <c r="C10" s="2" t="s">
        <v>811</v>
      </c>
      <c r="D10" s="2" t="s">
        <v>831</v>
      </c>
      <c r="E10" s="2" t="s">
        <v>832</v>
      </c>
      <c r="F10" s="2" t="s">
        <v>76</v>
      </c>
      <c r="G10" s="3" t="s">
        <v>44</v>
      </c>
      <c r="H10" s="3" t="s">
        <v>805</v>
      </c>
    </row>
    <row r="11" ht="25" spans="1:8">
      <c r="A11" s="2">
        <v>10</v>
      </c>
      <c r="B11" s="2" t="s">
        <v>833</v>
      </c>
      <c r="C11" s="2" t="s">
        <v>37</v>
      </c>
      <c r="D11" s="2" t="s">
        <v>834</v>
      </c>
      <c r="E11" s="2" t="s">
        <v>835</v>
      </c>
      <c r="F11" s="2" t="s">
        <v>371</v>
      </c>
      <c r="G11" s="3" t="s">
        <v>45</v>
      </c>
      <c r="H11" s="3" t="s">
        <v>805</v>
      </c>
    </row>
    <row r="12" spans="1:8">
      <c r="A12" s="2">
        <v>11</v>
      </c>
      <c r="B12" s="2" t="s">
        <v>836</v>
      </c>
      <c r="C12" s="2" t="s">
        <v>39</v>
      </c>
      <c r="D12" s="2" t="s">
        <v>837</v>
      </c>
      <c r="E12" s="2" t="s">
        <v>838</v>
      </c>
      <c r="F12" s="2" t="s">
        <v>489</v>
      </c>
      <c r="G12" s="3" t="s">
        <v>45</v>
      </c>
      <c r="H12" s="3" t="s">
        <v>805</v>
      </c>
    </row>
    <row r="13" spans="1:8">
      <c r="A13" s="2">
        <v>12</v>
      </c>
      <c r="B13" s="2" t="s">
        <v>839</v>
      </c>
      <c r="C13" s="2" t="s">
        <v>39</v>
      </c>
      <c r="D13" s="2" t="s">
        <v>837</v>
      </c>
      <c r="E13" s="2" t="s">
        <v>840</v>
      </c>
      <c r="F13" s="2" t="s">
        <v>498</v>
      </c>
      <c r="G13" s="3" t="s">
        <v>46</v>
      </c>
      <c r="H13" s="3" t="s">
        <v>805</v>
      </c>
    </row>
    <row r="14" spans="1:8">
      <c r="A14" s="2">
        <v>13</v>
      </c>
      <c r="B14" s="2" t="s">
        <v>841</v>
      </c>
      <c r="C14" s="2" t="s">
        <v>40</v>
      </c>
      <c r="D14" s="2" t="s">
        <v>842</v>
      </c>
      <c r="E14" s="2" t="s">
        <v>843</v>
      </c>
      <c r="F14" s="2" t="s">
        <v>587</v>
      </c>
      <c r="G14" s="3" t="s">
        <v>45</v>
      </c>
      <c r="H14" s="3" t="s">
        <v>805</v>
      </c>
    </row>
    <row r="15" ht="25" spans="1:8">
      <c r="A15" s="2">
        <v>14</v>
      </c>
      <c r="B15" s="2" t="s">
        <v>844</v>
      </c>
      <c r="C15" s="2" t="s">
        <v>40</v>
      </c>
      <c r="D15" s="2" t="s">
        <v>845</v>
      </c>
      <c r="E15" s="2" t="s">
        <v>846</v>
      </c>
      <c r="F15" s="2" t="s">
        <v>847</v>
      </c>
      <c r="G15" s="3" t="s">
        <v>45</v>
      </c>
      <c r="H15" s="3" t="s">
        <v>805</v>
      </c>
    </row>
    <row r="16" ht="25" spans="1:8">
      <c r="A16" s="2">
        <v>15</v>
      </c>
      <c r="B16" s="2" t="s">
        <v>848</v>
      </c>
      <c r="C16" s="2" t="s">
        <v>38</v>
      </c>
      <c r="D16" s="2" t="s">
        <v>849</v>
      </c>
      <c r="E16" s="2" t="s">
        <v>850</v>
      </c>
      <c r="F16" s="2" t="s">
        <v>426</v>
      </c>
      <c r="G16" s="3" t="s">
        <v>46</v>
      </c>
      <c r="H16" s="3" t="s">
        <v>805</v>
      </c>
    </row>
    <row r="17" spans="1:8">
      <c r="A17" s="2">
        <v>16</v>
      </c>
      <c r="B17" s="2" t="s">
        <v>851</v>
      </c>
      <c r="C17" s="2" t="s">
        <v>36</v>
      </c>
      <c r="D17" s="2" t="s">
        <v>852</v>
      </c>
      <c r="E17" s="2" t="s">
        <v>853</v>
      </c>
      <c r="F17" s="2" t="s">
        <v>283</v>
      </c>
      <c r="G17" s="3" t="s">
        <v>46</v>
      </c>
      <c r="H17" s="3" t="s">
        <v>805</v>
      </c>
    </row>
    <row r="18" spans="1:8">
      <c r="A18" s="2">
        <v>17</v>
      </c>
      <c r="B18" s="2" t="s">
        <v>854</v>
      </c>
      <c r="C18" s="2" t="s">
        <v>35</v>
      </c>
      <c r="D18" s="2" t="s">
        <v>855</v>
      </c>
      <c r="E18" s="2" t="s">
        <v>856</v>
      </c>
      <c r="F18" s="2" t="s">
        <v>857</v>
      </c>
      <c r="G18" s="3" t="s">
        <v>45</v>
      </c>
      <c r="H18" s="3" t="s">
        <v>805</v>
      </c>
    </row>
    <row r="19" spans="1:8">
      <c r="A19" s="2">
        <v>18</v>
      </c>
      <c r="B19" s="2" t="s">
        <v>858</v>
      </c>
      <c r="C19" s="2" t="s">
        <v>62</v>
      </c>
      <c r="D19" s="2" t="s">
        <v>859</v>
      </c>
      <c r="E19" s="2" t="s">
        <v>860</v>
      </c>
      <c r="F19" s="2" t="s">
        <v>64</v>
      </c>
      <c r="G19" s="3" t="s">
        <v>46</v>
      </c>
      <c r="H19" s="3" t="s">
        <v>805</v>
      </c>
    </row>
    <row r="20" spans="1:8">
      <c r="A20" s="2">
        <v>19</v>
      </c>
      <c r="B20" s="2" t="s">
        <v>126</v>
      </c>
      <c r="C20" s="2" t="s">
        <v>62</v>
      </c>
      <c r="D20" s="2" t="s">
        <v>828</v>
      </c>
      <c r="E20" s="2" t="s">
        <v>861</v>
      </c>
      <c r="F20" s="2" t="s">
        <v>125</v>
      </c>
      <c r="G20" s="3" t="s">
        <v>45</v>
      </c>
      <c r="H20" s="3" t="s">
        <v>805</v>
      </c>
    </row>
  </sheetData>
  <autoFilter xmlns:etc="http://www.wps.cn/officeDocument/2017/etCustomData" ref="A1:H20" etc:filterBottomFollowUsedRange="0">
    <extLst/>
  </autoFilter>
  <conditionalFormatting sqref="G2:G20">
    <cfRule type="expression" dxfId="0" priority="2">
      <formula>G2="Critical"</formula>
    </cfRule>
  </conditionalFormatting>
  <conditionalFormatting sqref="H2:H20">
    <cfRule type="expression" dxfId="2" priority="3">
      <formula>H2="Done"</formula>
    </cfRule>
    <cfRule type="expression" dxfId="1" priority="4">
      <formula>H2="Open"</formula>
    </cfRule>
  </conditionalFormatting>
  <dataValidations count="2">
    <dataValidation type="list" allowBlank="1" sqref="G2:G20">
      <formula1>"Critical,High,Medium,Low"</formula1>
    </dataValidation>
    <dataValidation type="list" allowBlank="1" sqref="H2:H20">
      <formula1>"Open,In progress,Done"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Shared protocol</vt:lpstr>
      <vt:lpstr>Pre-training</vt:lpstr>
      <vt:lpstr>Fine-tuning</vt:lpstr>
      <vt:lpstr>Evaluation</vt:lpstr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google1585079158</cp:lastModifiedBy>
  <cp:revision>0</cp:revision>
  <dcterms:created xsi:type="dcterms:W3CDTF">2026-09-21T13:26:00Z</dcterms:created>
  <dcterms:modified xsi:type="dcterms:W3CDTF">2026-09-21T13:29:42Z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2A3DC054398745F0A2D283CBD99795A2_12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