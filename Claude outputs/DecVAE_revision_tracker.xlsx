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750" windowHeight="10400" tabRatio="500" activeTab="1"/>
  </bookViews>
  <sheets>
    <sheet name="Overview" sheetId="1" r:id="rId1"/>
    <sheet name="Comments" sheetId="2" r:id="rId2"/>
    <sheet name="Experiments" sheetId="3" r:id="rId3"/>
    <sheet name="Writing" sheetId="4" r:id="rId4"/>
    <sheet name="Decisions" sheetId="5" r:id="rId5"/>
  </sheets>
  <definedNames>
    <definedName name="_xlnm._FilterDatabase" localSheetId="1" hidden="1">Comments!$A$3:$I$39</definedName>
    <definedName name="_xlnm._FilterDatabase" localSheetId="2" hidden="1">Experiments!$A$3:$H$22</definedName>
    <definedName name="_xlnm._FilterDatabase" localSheetId="3" hidden="1">Writing!$A$3:$F$29</definedName>
    <definedName name="_xlnm._FilterDatabase" localSheetId="4" hidden="1">Decisions!$A$3:$F$10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<sst xmlns="http://schemas.openxmlformats.org/spreadsheetml/2006/main" count="724" uniqueCount="356">
  <si>
    <t>DecVAE revision tracker</t>
  </si>
  <si>
    <t>npj Artificial Intelligence, submission c86c5415-7be3-43e1-8a57-9b3e782755ae</t>
  </si>
  <si>
    <t>Update the Status column on each sheet. The counts below follow automatically.</t>
  </si>
  <si>
    <t>Reviewer comments</t>
  </si>
  <si>
    <t>Status</t>
  </si>
  <si>
    <t>Count</t>
  </si>
  <si>
    <t>Not started</t>
  </si>
  <si>
    <t>Planned</t>
  </si>
  <si>
    <t>In progress</t>
  </si>
  <si>
    <t>Blocked</t>
  </si>
  <si>
    <t>Done</t>
  </si>
  <si>
    <t>Dropped</t>
  </si>
  <si>
    <t>Optional</t>
  </si>
  <si>
    <t>Total</t>
  </si>
  <si>
    <t>Experiments and analyses</t>
  </si>
  <si>
    <t>Writing tasks</t>
  </si>
  <si>
    <t>Open decisions</t>
  </si>
  <si>
    <t>Key sequencing note</t>
  </si>
  <si>
    <t>Experiment ranks 1 and 2 need no GPU and can run alongside everything else. Among the GPU jobs, run CoST first: it is the most dangerous comparison, so the result is worth having early. Ranks 1 to 7 are the defensible minimum and close every named baseline request. Ranks 8 and 9 make the paper stronger rather than merely compliant.</t>
  </si>
  <si>
    <t>Reviewer comments (35 comments + editor)</t>
  </si>
  <si>
    <t>ID</t>
  </si>
  <si>
    <t>Reviewer</t>
  </si>
  <si>
    <t>Severity</t>
  </si>
  <si>
    <t>Comment</t>
  </si>
  <si>
    <t>Type</t>
  </si>
  <si>
    <t>Master response</t>
  </si>
  <si>
    <t>Priority</t>
  </si>
  <si>
    <t>Notes</t>
  </si>
  <si>
    <t>Editor</t>
  </si>
  <si>
    <t>-</t>
  </si>
  <si>
    <t>Four themes: framing, baselines, disentanglement evidence, presentation</t>
  </si>
  <si>
    <t>Umbrella</t>
  </si>
  <si>
    <t>MR-A/B/D</t>
  </si>
  <si>
    <t>High</t>
  </si>
  <si>
    <t>Cover letter drafted</t>
  </si>
  <si>
    <t>R1 #1</t>
  </si>
  <si>
    <t>R1</t>
  </si>
  <si>
    <t>Minor</t>
  </si>
  <si>
    <t>Autoencoder naming: relabel or rename</t>
  </si>
  <si>
    <t>Text</t>
  </si>
  <si>
    <t>MR-A</t>
  </si>
  <si>
    <t>Adopting R1's relabel option; keep DecVAE. Do NOT use the PCA/ICA precedent argument</t>
  </si>
  <si>
    <t>R1 #2</t>
  </si>
  <si>
    <t>Discuss compactness and deployment trade-off</t>
  </si>
  <si>
    <t>Medium</t>
  </si>
  <si>
    <t>Quantify dimensionality vs VAE baselines</t>
  </si>
  <si>
    <t>R1 #3</t>
  </si>
  <si>
    <t>Intuition for adversarial stabilisation in main text</t>
  </si>
  <si>
    <t>MR-B</t>
  </si>
  <si>
    <t>Consider adding KL collapse curves</t>
  </si>
  <si>
    <t>R1 #4</t>
  </si>
  <si>
    <t>Notation mapping table, main vs supplement</t>
  </si>
  <si>
    <t>Z-tilde / z_c-tilde vs h_i / Z^k, and h = w^-1(z)</t>
  </si>
  <si>
    <t>R1 #5</t>
  </si>
  <si>
    <t>Major</t>
  </si>
  <si>
    <t>Sequence-based or contrastive baselines</t>
  </si>
  <si>
    <t>Experiment</t>
  </si>
  <si>
    <t>MR-D</t>
  </si>
  <si>
    <t>Covered by TCL, SFA, SlowVAE, FHVAE</t>
  </si>
  <si>
    <t>R1 #6</t>
  </si>
  <si>
    <t>Beta sensitivity vs orthogonality and accuracy</t>
  </si>
  <si>
    <t>Analysis</t>
  </si>
  <si>
    <t>Beta curve with accuracy and GCN at the same time</t>
  </si>
  <si>
    <t>R2</t>
  </si>
  <si>
    <t>Proofread; expand figure captions</t>
  </si>
  <si>
    <t>Low</t>
  </si>
  <si>
    <t>Figs 1, 2, 6 most likely</t>
  </si>
  <si>
    <t>R3 #1</t>
  </si>
  <si>
    <t>R3</t>
  </si>
  <si>
    <t>TCL and CoST in at least one task</t>
  </si>
  <si>
    <t>Running on two datasets, not one</t>
  </si>
  <si>
    <t>R3 #2</t>
  </si>
  <si>
    <t>FD fixed frequency boundaries and generalisability</t>
  </si>
  <si>
    <t>MR-E</t>
  </si>
  <si>
    <t>Position: boundaries are a per-signal-class hyperparameter</t>
  </si>
  <si>
    <t>R3 #3</t>
  </si>
  <si>
    <t>Unresolved citation, line 499</t>
  </si>
  <si>
    <t>Resolves correctly in current draft; reviewer saw an earlier compile</t>
  </si>
  <si>
    <t>R3 #4</t>
  </si>
  <si>
    <t>Missing space, line 508</t>
  </si>
  <si>
    <t>Also line 736 ('Alg. 1and'); full sweep pending</t>
  </si>
  <si>
    <t>R4 #1</t>
  </si>
  <si>
    <t>R4</t>
  </si>
  <si>
    <t>Major/Minor</t>
  </si>
  <si>
    <t>Decomposition is an inductive bias, not a guarantee</t>
  </si>
  <si>
    <t>Text / Experiment</t>
  </si>
  <si>
    <t>Aligns with our own view; state when it helps. We can argue that even when semantic factors are split across components, their combination achieves disentanglement. This could be set up as an experiment to show how emotion is distributed in VAEs vs DecVAEs (partially shown in the interpretability analysis with 3D contours)</t>
  </si>
  <si>
    <t>R4 #2</t>
  </si>
  <si>
    <t>Number of components under-justified</t>
  </si>
  <si>
    <t>Sensitivity analysis rather than a selection rule</t>
  </si>
  <si>
    <t>R4 #3</t>
  </si>
  <si>
    <t>Subspace-wise evidence for interpretability</t>
  </si>
  <si>
    <t>Selective prediction, leave-one-subspace-out, swapping</t>
  </si>
  <si>
    <t>R4 #4</t>
  </si>
  <si>
    <t>Be precise about what orthogonality means</t>
  </si>
  <si>
    <t>It is distributional separation; say so</t>
  </si>
  <si>
    <t>R4 #5</t>
  </si>
  <si>
    <t>Strict lower bound or DELBO-inspired objective</t>
  </si>
  <si>
    <t>Conceding: no bound is possible, structural reason</t>
  </si>
  <si>
    <t>R4 #6</t>
  </si>
  <si>
    <t>Malformed algorithm reference, page 20</t>
  </si>
  <si>
    <t>Resolves in current draft; sweep still needed</t>
  </si>
  <si>
    <t>R5 #1</t>
  </si>
  <si>
    <t>R5</t>
  </si>
  <si>
    <t>Encoder-only model described as a VAE</t>
  </si>
  <si>
    <t>Same as R1 #1</t>
  </si>
  <si>
    <t>R5 #2</t>
  </si>
  <si>
    <t>Stronger contemporary baselines</t>
  </si>
  <si>
    <t>The binding constraint on the whole baseline plan</t>
  </si>
  <si>
    <t>R5 #3</t>
  </si>
  <si>
    <t>Decomposition claimed in generative process, acts as front-end</t>
  </si>
  <si>
    <t>MR-C</t>
  </si>
  <si>
    <t>State the generative claim and the implementation separately</t>
  </si>
  <si>
    <t>R5 #4</t>
  </si>
  <si>
    <t>Minor/Major</t>
  </si>
  <si>
    <t>All real-world experiments are speech</t>
  </si>
  <si>
    <t>Decision</t>
  </si>
  <si>
    <t>See decision D1</t>
  </si>
  <si>
    <t>R5 #5</t>
  </si>
  <si>
    <t>Define or remove 'chromagram-guided dynamics'</t>
  </si>
  <si>
    <t>Single occurrence, main line 92. Delete</t>
  </si>
  <si>
    <t>R5 #6</t>
  </si>
  <si>
    <t>SimVowels favours the decomposition prior</t>
  </si>
  <si>
    <t>New synthetic data with non-frequency, mixed, correlated factors</t>
  </si>
  <si>
    <t>R5 #7</t>
  </si>
  <si>
    <t>Limitations of disentanglement metrics</t>
  </si>
  <si>
    <t>Read as: is the method ranking stable under noise and imbalance</t>
  </si>
  <si>
    <t>R5 #8</t>
  </si>
  <si>
    <t>Automatic or misspecified selection of C</t>
  </si>
  <si>
    <t>Overlaps R4 #2</t>
  </si>
  <si>
    <t>R5 #9</t>
  </si>
  <si>
    <t>VOC-ALS confounds; subject-independent controls</t>
  </si>
  <si>
    <t>Where VOC-ALS effort should go, not baselines</t>
  </si>
  <si>
    <t>R5 #10</t>
  </si>
  <si>
    <t>IEMOCAP leave-session/speaker-out; class-wise results</t>
  </si>
  <si>
    <t>Session and speaker are confounded by design; say so</t>
  </si>
  <si>
    <t>R5 #11</t>
  </si>
  <si>
    <t>Quantify latent alignment; stability across seeds and folds</t>
  </si>
  <si>
    <t>Existing 5-fold x 5-seed protocol supports this</t>
  </si>
  <si>
    <t>R5 #12</t>
  </si>
  <si>
    <t>Non-variational ablation of same architecture and capacity</t>
  </si>
  <si>
    <t>Signpost</t>
  </si>
  <si>
    <t>DecAE (beta = 0) already reported; give table and figure numbers</t>
  </si>
  <si>
    <t>R5 #13</t>
  </si>
  <si>
    <t>Eqs. (4b) and (5) underdeveloped</t>
  </si>
  <si>
    <t>Overlaps R6 #1</t>
  </si>
  <si>
    <t>R5 #14</t>
  </si>
  <si>
    <t>Prove the bound or rename the objective</t>
  </si>
  <si>
    <t>Renaming; proof is not possible</t>
  </si>
  <si>
    <t>R5 #15</t>
  </si>
  <si>
    <t>Three additional citations</t>
  </si>
  <si>
    <t>Assess relevance first; see decision D5</t>
  </si>
  <si>
    <t>R6 #1</t>
  </si>
  <si>
    <t>R6</t>
  </si>
  <si>
    <t>Eqs. (4b), (5), (7), (9) and VAE terminology</t>
  </si>
  <si>
    <t>MR-A/B/C</t>
  </si>
  <si>
    <t>Splits across three master responses</t>
  </si>
  <si>
    <t>R6 #2</t>
  </si>
  <si>
    <t>Padding and random concatenation in Alg. 1 are ambiguous</t>
  </si>
  <si>
    <t>Answer the label-corruption worry specifically</t>
  </si>
  <si>
    <t>R6 #3</t>
  </si>
  <si>
    <t>Eq. (9) not shown to be a bound; sign conventions</t>
  </si>
  <si>
    <t>Correct in every particular; drove the main revision</t>
  </si>
  <si>
    <t>Experiments and analyses, in priority order</t>
  </si>
  <si>
    <t>Rank</t>
  </si>
  <si>
    <t>Item</t>
  </si>
  <si>
    <t>Category</t>
  </si>
  <si>
    <t>Datasets</t>
  </si>
  <si>
    <t>GPU runs</t>
  </si>
  <si>
    <t>Closes</t>
  </si>
  <si>
    <t>wav2vec2 frozen embeddings (optionally WavLM)</t>
  </si>
  <si>
    <t>Baseline</t>
  </si>
  <si>
    <t>SimVowels, TIMIT, IEMOCAP</t>
  </si>
  <si>
    <t>0 (inference)</t>
  </si>
  <si>
    <t>Zero pre-training. Encoder is already Wav2Vec2-based, so this is a same-encoder/different-objective control</t>
  </si>
  <si>
    <t>Slow Feature Analysis (SFA)</t>
  </si>
  <si>
    <t>0 (CPU)</t>
  </si>
  <si>
    <t>sklearn-sfa. Needs ordered contiguous frames. Use context stacking or quadratic expansion. Run at 20 comps and at z_dim</t>
  </si>
  <si>
    <t>CoST</t>
  </si>
  <si>
    <t>SimVowels, TIMIT</t>
  </si>
  <si>
    <t>2</t>
  </si>
  <si>
    <t>R3 #1, R5 #2</t>
  </si>
  <si>
    <t>Run first of the GPU jobs: most dangerous comparison, want the result early</t>
  </si>
  <si>
    <t>TCL</t>
  </si>
  <si>
    <t>R1 #5, R3 #1</t>
  </si>
  <si>
    <t>Small MLP with segment-index pretext. Best Major-comments-per-GPU-hour on the list</t>
  </si>
  <si>
    <t>FHVAE</t>
  </si>
  <si>
    <t>R1 #5, R5 #2</t>
  </si>
  <si>
    <t>Zero protocol invention; originally evaluated on TIMIT with the same two-timescale structure</t>
  </si>
  <si>
    <t>CPC</t>
  </si>
  <si>
    <t>TIMIT</t>
  </si>
  <si>
    <t>1</t>
  </si>
  <si>
    <t>Named by R5 explicitly; cheap. Completes R5's five-family list</t>
  </si>
  <si>
    <t>IEMOCAP carry-forward (best 2 of ranks 3-5)</t>
  </si>
  <si>
    <t>IEMOCAP</t>
  </si>
  <si>
    <t>R4 #1, R5 #6</t>
  </si>
  <si>
    <t>Hardest case for the frequency prior, so the most informative win</t>
  </si>
  <si>
    <t>TF-C</t>
  </si>
  <si>
    <t>Requested by nobody but the sharpest test: one frequency view vs C orthogonal components</t>
  </si>
  <si>
    <t>SlowVAE</t>
  </si>
  <si>
    <t>SimVowels (TIMIT if budget)</t>
  </si>
  <si>
    <t>1-2</t>
  </si>
  <si>
    <t>SimVowels first: its identifiability claim needs ground-truth factors</t>
  </si>
  <si>
    <t>DSVAE</t>
  </si>
  <si>
    <t>Same reviewer slot as FHVAE, more protocol invention</t>
  </si>
  <si>
    <t>BTSF</t>
  </si>
  <si>
    <t>Same slot as TF-C, less pointed comparison</t>
  </si>
  <si>
    <t>New synthetic data: non-frequency, mixed, correlated factors</t>
  </si>
  <si>
    <t>Simulation</t>
  </si>
  <si>
    <t>New</t>
  </si>
  <si>
    <t>TBD</t>
  </si>
  <si>
    <t>R5 #6, R4 #1</t>
  </si>
  <si>
    <t>Plan jointly with the baseline grid. See decision D3</t>
  </si>
  <si>
    <t>C sensitivity including deliberate misspecification</t>
  </si>
  <si>
    <t>Ablation</t>
  </si>
  <si>
    <t>R4 #2, R5 #8</t>
  </si>
  <si>
    <t>Systematic sweep rather than a selection rule</t>
  </si>
  <si>
    <t>Beta vs orthogonality and accuracy on common axes</t>
  </si>
  <si>
    <t>Existing runs</t>
  </si>
  <si>
    <t>0</t>
  </si>
  <si>
    <t>Re-plot from existing sweeps; report D_ortho at convergence</t>
  </si>
  <si>
    <t>Subspace-wise: selective prediction, leave-one-out, swapping</t>
  </si>
  <si>
    <t>TIMIT, IEMOCAP</t>
  </si>
  <si>
    <t>Post-hoc on existing latents. Also applicable to CoST and FHVAE subspaces</t>
  </si>
  <si>
    <t>VOC-ALS: subject-independent, stratified, permutation tests</t>
  </si>
  <si>
    <t>VOC-ALS</t>
  </si>
  <si>
    <t>Where VOC-ALS effort belongs</t>
  </si>
  <si>
    <t>IEMOCAP class-wise results and LOSO reporting</t>
  </si>
  <si>
    <t>Available from existing runs</t>
  </si>
  <si>
    <t>Seed and fold stability of factor alignment</t>
  </si>
  <si>
    <t>All</t>
  </si>
  <si>
    <t>Correlate DCI importance matrices across seeds</t>
  </si>
  <si>
    <t>Metric robustness under label noise and factor imbalance</t>
  </si>
  <si>
    <t>Existing latents</t>
  </si>
  <si>
    <t>No pre-training needed; perturb labels and re-run the metric suite</t>
  </si>
  <si>
    <t>Manuscript writing and correction tasks</t>
  </si>
  <si>
    <t>Task</t>
  </si>
  <si>
    <t>Where</t>
  </si>
  <si>
    <t>Linked to</t>
  </si>
  <si>
    <t>W1</t>
  </si>
  <si>
    <t>Definitional paragraph: latent-level autoencoding; rate term without sampling</t>
  </si>
  <si>
    <t>Introduction + Methods</t>
  </si>
  <si>
    <t>MR-A, R1 #1, R5 #1</t>
  </si>
  <si>
    <t>Draft written, needs placing and final wording</t>
  </si>
  <si>
    <t>W2</t>
  </si>
  <si>
    <t>Rewrite SI Section 5: retitle, rescope, state what is and is not bounded</t>
  </si>
  <si>
    <t>SI Sec. 5</t>
  </si>
  <si>
    <t>Keep the derivation as motivation, correctly scoped</t>
  </si>
  <si>
    <t>W3</t>
  </si>
  <si>
    <t>Unify sign conventions across Eq. (1), Eq. (9), SI Eq. (12), Alg. 1</t>
  </si>
  <si>
    <t>Main + SI</t>
  </si>
  <si>
    <t>MR-B, R6 #3</t>
  </si>
  <si>
    <t>Code minimises L_recon + L_ortho + beta*L_prior</t>
  </si>
  <si>
    <t>W4</t>
  </si>
  <si>
    <t>Separate symbols: D_recon/D_ortho for measures, L_recon/L_ortho for losses</t>
  </si>
  <si>
    <t>This is the real source of the sign confusion</t>
  </si>
  <si>
    <t>W5</t>
  </si>
  <si>
    <t>Fix SI Alg. 2 line 31: negative CE is -log(JSD), not -log(1-JSD)</t>
  </si>
  <si>
    <t>SI Alg. 2</t>
  </si>
  <si>
    <t>Code uses BCE with target 1 for negatives</t>
  </si>
  <si>
    <t>W6</t>
  </si>
  <si>
    <t>Withdraw the FactorVAE analogy</t>
  </si>
  <si>
    <t>Main l.431, SI l.112</t>
  </si>
  <si>
    <t>FactorVAE subtracts a term it minimises; our case is the mirror image</t>
  </si>
  <si>
    <t>W7</t>
  </si>
  <si>
    <t>Rename the objective</t>
  </si>
  <si>
    <t>Throughout</t>
  </si>
  <si>
    <t>See decision D2. 'DELBO-inspired' is dropped either way</t>
  </si>
  <si>
    <t>W8</t>
  </si>
  <si>
    <t>Equilibrium proposition as the positive theoretical content</t>
  </si>
  <si>
    <t>SI Sec. 5 or 7</t>
  </si>
  <si>
    <t>Replaces the lost bound; connects to the SVD/PCA argument. Decision D7</t>
  </si>
  <si>
    <t>W9</t>
  </si>
  <si>
    <t>Restate Eqs. (4b), (5) and (7)</t>
  </si>
  <si>
    <t>Methods</t>
  </si>
  <si>
    <t>MR-C, R5 #13, R6 #1</t>
  </si>
  <si>
    <t>Marginal of a sum vs joint of independents; invalid posterior factorisation</t>
  </si>
  <si>
    <t>W10</t>
  </si>
  <si>
    <t>Reconcile p(z) pushforward vs the isotropic prior; scope Assumption 1</t>
  </si>
  <si>
    <t>Two different objects used interchangeably</t>
  </si>
  <si>
    <t>W11</t>
  </si>
  <si>
    <t>Notation mapping table, main text vs supplement</t>
  </si>
  <si>
    <t>W12</t>
  </si>
  <si>
    <t>Remove 'chromagram-guided dynamics'</t>
  </si>
  <si>
    <t>Main l.92</t>
  </si>
  <si>
    <t>Single occurrence; not in SI or code</t>
  </si>
  <si>
    <t>W13</t>
  </si>
  <si>
    <t>Fix spacing at lines 508 and 736; full typography sweep</t>
  </si>
  <si>
    <t>Main</t>
  </si>
  <si>
    <t>W14</t>
  </si>
  <si>
    <t>Sweep for unresolved references and formatting artefacts</t>
  </si>
  <si>
    <t>R3 #3, R4 #6</t>
  </si>
  <si>
    <t>Both already resolve, but state that a sweep was done</t>
  </si>
  <si>
    <t>W15</t>
  </si>
  <si>
    <t>Compactness and deployment trade-off in the Discussion</t>
  </si>
  <si>
    <t>Discussion</t>
  </si>
  <si>
    <t>W16</t>
  </si>
  <si>
    <t>Two or three sentences on adversarial stabilisation and collapse</t>
  </si>
  <si>
    <t>W17</t>
  </si>
  <si>
    <t>State that orthogonality here means distributional separation</t>
  </si>
  <si>
    <t>Cite MI and GCN results as evidence, not as construction</t>
  </si>
  <si>
    <t>W18</t>
  </si>
  <si>
    <t>Signpost DecAE (beta = 0) as the non-variational ablation</t>
  </si>
  <si>
    <t>Results / SI</t>
  </si>
  <si>
    <t>Give the specific table and figure numbers</t>
  </si>
  <si>
    <t>W19</t>
  </si>
  <si>
    <t>Precise padding and random concatenation procedure</t>
  </si>
  <si>
    <t>Alg. 1</t>
  </si>
  <si>
    <t>Say whether concatenation is within-speaker and how labels are assigned</t>
  </si>
  <si>
    <t>W20</t>
  </si>
  <si>
    <t>Assess and place the three suggested citations</t>
  </si>
  <si>
    <t>See decision D5</t>
  </si>
  <si>
    <t>W21</t>
  </si>
  <si>
    <t>Cite and distinguish LaST, Autoformer, FEDformer, SpeechSplit</t>
  </si>
  <si>
    <t>Intro / Related work</t>
  </si>
  <si>
    <t>Autoformer is not currently cited at all; FEDformer is [38]</t>
  </si>
  <si>
    <t>W22</t>
  </si>
  <si>
    <t>Move the CPC citation [2] out of the dysarthria sentence</t>
  </si>
  <si>
    <t>Main l.29</t>
  </si>
  <si>
    <t>Currently cited as support for dysarthric speech recognition</t>
  </si>
  <si>
    <t>W23</t>
  </si>
  <si>
    <t>Abstract: soften 'extends VAEs'; gloss 'encoder-only'</t>
  </si>
  <si>
    <t>Abstract</t>
  </si>
  <si>
    <t>'variational prior approximation' is already accurate; light touch only</t>
  </si>
  <si>
    <t>W24</t>
  </si>
  <si>
    <t>Expand figure captions</t>
  </si>
  <si>
    <t>Figs. 1, 2, 6</t>
  </si>
  <si>
    <t>W25</t>
  </si>
  <si>
    <t>Full proofreading pass</t>
  </si>
  <si>
    <t>Whole manuscript</t>
  </si>
  <si>
    <t>W26</t>
  </si>
  <si>
    <t>Narrow modality claims, or report the new modality</t>
  </si>
  <si>
    <t>Abstract + Discussion</t>
  </si>
  <si>
    <t>Open decisions (only you can settle these)</t>
  </si>
  <si>
    <t>Impact</t>
  </si>
  <si>
    <t>Resolution</t>
  </si>
  <si>
    <t>D1</t>
  </si>
  <si>
    <t>Narrow the claim to speech-like signals, or add a non-speech modality (EEG/ECG)</t>
  </si>
  <si>
    <t>R5 #4, W26</t>
  </si>
  <si>
    <t>D2</t>
  </si>
  <si>
    <t>Final name for the objective: redefine DELBO, or L_dec</t>
  </si>
  <si>
    <t>MR-B, W7</t>
  </si>
  <si>
    <t>D3</t>
  </si>
  <si>
    <t>Run baselines on the new synthetic dataset as well</t>
  </si>
  <si>
    <t>R5 #6, MR-E, Exp 12</t>
  </si>
  <si>
    <t>D4</t>
  </si>
  <si>
    <t>Benchmark SpeechSplit, or cite it only</t>
  </si>
  <si>
    <t>D5</t>
  </si>
  <si>
    <t>Are R5's three suggested citations genuinely relevant</t>
  </si>
  <si>
    <t>R5 #15, W20</t>
  </si>
  <si>
    <t>D6</t>
  </si>
  <si>
    <t>Presentation of changes: tracked changes, colour, or separate marked-up file</t>
  </si>
  <si>
    <t>Submission</t>
  </si>
  <si>
    <t>D7</t>
  </si>
  <si>
    <t>Include the equilibrium proposition in the supplement</t>
  </si>
  <si>
    <t>MR-B, W8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</si>
</sst>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0">
    <font>
      <sz val="11"/>
      <color theme="1"/>
      <name val="Calibri"/>
      <charset val="1"/>
    </font>
    <font>
      <b/>
      <sz val="13"/>
      <color rgb="FF1F3864"/>
      <name val="Arial"/>
      <charset val="1"/>
    </font>
    <font>
      <b/>
      <sz val="10"/>
      <color rgb="FFFFFFFF"/>
      <name val="Arial"/>
      <charset val="1"/>
    </font>
    <font>
      <b/>
      <sz val="10"/>
      <name val="Arial"/>
      <charset val="1"/>
    </font>
    <font>
      <sz val="10"/>
      <name val="Arial"/>
      <charset val="1"/>
    </font>
    <font>
      <b/>
      <sz val="15"/>
      <color rgb="FF1F3864"/>
      <name val="Arial"/>
      <charset val="1"/>
    </font>
    <font>
      <i/>
      <sz val="10"/>
      <color rgb="FF595959"/>
      <name val="Arial"/>
      <charset val="1"/>
    </font>
    <font>
      <i/>
      <sz val="10"/>
      <name val="Arial"/>
      <charset val="1"/>
    </font>
    <font>
      <b/>
      <sz val="11"/>
      <color rgb="FF1F3864"/>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rgb="FF1F3864"/>
        <bgColor rgb="FF333333"/>
      </patternFill>
    </fill>
    <fill>
      <patternFill patternType="solid">
        <fgColor rgb="FFFFC7CE"/>
        <bgColor rgb="FFFCE4D6"/>
      </patternFill>
    </fill>
    <fill>
      <patternFill patternType="solid">
        <fgColor rgb="FFFFEB9C"/>
        <bgColor rgb="FFFCE4D6"/>
      </patternFill>
    </fill>
    <fill>
      <patternFill patternType="solid">
        <fgColor rgb="FFDDEBF7"/>
        <bgColor rgb="FFE7E6E6"/>
      </patternFill>
    </fill>
    <fill>
      <patternFill patternType="solid">
        <fgColor rgb="FFEDEDED"/>
        <bgColor rgb="FFE7E6E6"/>
      </patternFill>
    </fill>
    <fill>
      <patternFill patternType="solid">
        <fgColor rgb="FFE7E6E6"/>
        <bgColor rgb="FFEDEDED"/>
      </patternFill>
    </fill>
    <fill>
      <patternFill patternType="solid">
        <fgColor theme="5" tint="0.8"/>
        <bgColor indexed="64"/>
      </patternFill>
    </fill>
    <fill>
      <patternFill patternType="solid">
        <fgColor theme="7" tint="0.8"/>
        <bgColor indexed="64"/>
      </patternFill>
    </fill>
    <fill>
      <patternFill patternType="solid">
        <fgColor theme="6" tint="0.6"/>
        <bgColor indexed="64"/>
      </patternFill>
    </fill>
    <fill>
      <patternFill patternType="solid">
        <fgColor theme="9" tint="0.6"/>
        <bgColor indexed="64"/>
      </patternFill>
    </fill>
    <fill>
      <patternFill patternType="solid">
        <fgColor theme="3" tint="0.8"/>
        <bgColor indexed="64"/>
      </patternFill>
    </fill>
    <fill>
      <patternFill patternType="solid">
        <fgColor rgb="FFFCE4D6"/>
        <bgColor rgb="FFE7E6E6"/>
      </patternFill>
    </fill>
    <fill>
      <patternFill patternType="solid">
        <fgColor theme="7"/>
        <bgColor indexed="64"/>
      </patternFill>
    </fill>
    <fill>
      <patternFill patternType="solid">
        <fgColor rgb="FFC6EFCE"/>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1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7" borderId="5" applyNumberFormat="0" applyAlignment="0" applyProtection="0">
      <alignment vertical="center"/>
    </xf>
    <xf numFmtId="0" fontId="20" fillId="18" borderId="6" applyNumberFormat="0" applyAlignment="0" applyProtection="0">
      <alignment vertical="center"/>
    </xf>
    <xf numFmtId="0" fontId="21" fillId="18" borderId="5" applyNumberFormat="0" applyAlignment="0" applyProtection="0">
      <alignment vertical="center"/>
    </xf>
    <xf numFmtId="0" fontId="22" fillId="1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9" fillId="44" borderId="0" applyNumberFormat="0" applyBorder="0" applyAlignment="0" applyProtection="0">
      <alignment vertical="center"/>
    </xf>
    <xf numFmtId="0" fontId="29" fillId="45" borderId="0" applyNumberFormat="0" applyBorder="0" applyAlignment="0" applyProtection="0">
      <alignment vertical="center"/>
    </xf>
    <xf numFmtId="0" fontId="28" fillId="46" borderId="0" applyNumberFormat="0" applyBorder="0" applyAlignment="0" applyProtection="0">
      <alignment vertical="center"/>
    </xf>
  </cellStyleXfs>
  <cellXfs count="48">
    <xf numFmtId="0" fontId="0" fillId="0" borderId="0" xfId="0"/>
    <xf numFmtId="0" fontId="1" fillId="0" borderId="0" xfId="0" applyFont="1"/>
    <xf numFmtId="0" fontId="2" fillId="2" borderId="1" xfId="0" applyFont="1" applyFill="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4" fillId="3" borderId="1" xfId="0" applyFont="1" applyFill="1" applyBorder="1" applyAlignment="1">
      <alignment vertical="top"/>
    </xf>
    <xf numFmtId="0" fontId="4" fillId="4" borderId="1" xfId="0" applyFont="1" applyFill="1" applyBorder="1" applyAlignment="1">
      <alignment vertical="top"/>
    </xf>
    <xf numFmtId="0" fontId="4" fillId="5"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4" fillId="13" borderId="1" xfId="0" applyFont="1" applyFill="1" applyBorder="1" applyAlignment="1">
      <alignment vertical="top"/>
    </xf>
    <xf numFmtId="0" fontId="3" fillId="8" borderId="1" xfId="0" applyFont="1" applyFill="1" applyBorder="1" applyAlignment="1">
      <alignment vertical="top"/>
    </xf>
    <xf numFmtId="0" fontId="4" fillId="8" borderId="1" xfId="0" applyFont="1" applyFill="1" applyBorder="1" applyAlignment="1">
      <alignment vertical="top"/>
    </xf>
    <xf numFmtId="0" fontId="4" fillId="8" borderId="1" xfId="0" applyFont="1" applyFill="1" applyBorder="1" applyAlignment="1">
      <alignment vertical="top" wrapText="1"/>
    </xf>
    <xf numFmtId="0" fontId="4" fillId="14" borderId="1" xfId="0" applyFont="1" applyFill="1" applyBorder="1" applyAlignment="1">
      <alignment vertical="top"/>
    </xf>
    <xf numFmtId="0" fontId="4" fillId="15" borderId="1" xfId="0" applyFont="1" applyFill="1" applyBorder="1" applyAlignment="1">
      <alignment vertical="top"/>
    </xf>
    <xf numFmtId="0" fontId="3" fillId="9" borderId="1" xfId="0" applyFont="1" applyFill="1" applyBorder="1" applyAlignment="1">
      <alignment vertical="top"/>
    </xf>
    <xf numFmtId="0" fontId="4" fillId="9" borderId="1" xfId="0" applyFont="1" applyFill="1" applyBorder="1" applyAlignment="1">
      <alignment vertical="top"/>
    </xf>
    <xf numFmtId="0" fontId="4" fillId="9" borderId="1" xfId="0" applyFont="1" applyFill="1" applyBorder="1" applyAlignment="1">
      <alignment vertical="top" wrapText="1"/>
    </xf>
    <xf numFmtId="0" fontId="3" fillId="10" borderId="1" xfId="0" applyFont="1" applyFill="1" applyBorder="1" applyAlignment="1">
      <alignment vertical="top"/>
    </xf>
    <xf numFmtId="0" fontId="4" fillId="10" borderId="1" xfId="0" applyFont="1" applyFill="1" applyBorder="1" applyAlignment="1">
      <alignment vertical="top"/>
    </xf>
    <xf numFmtId="0" fontId="4" fillId="10" borderId="1" xfId="0" applyFont="1" applyFill="1" applyBorder="1" applyAlignment="1">
      <alignment vertical="top" wrapText="1"/>
    </xf>
    <xf numFmtId="0" fontId="3" fillId="11" borderId="1" xfId="0" applyFont="1" applyFill="1" applyBorder="1" applyAlignment="1">
      <alignment vertical="top"/>
    </xf>
    <xf numFmtId="0" fontId="4" fillId="11" borderId="1" xfId="0" applyFont="1" applyFill="1" applyBorder="1" applyAlignment="1">
      <alignment vertical="top"/>
    </xf>
    <xf numFmtId="0" fontId="4" fillId="11" borderId="1" xfId="0" applyFont="1" applyFill="1" applyBorder="1" applyAlignment="1">
      <alignment vertical="top" wrapText="1"/>
    </xf>
    <xf numFmtId="0" fontId="3" fillId="12" borderId="1" xfId="0" applyFont="1" applyFill="1" applyBorder="1" applyAlignment="1">
      <alignment vertical="top"/>
    </xf>
    <xf numFmtId="0" fontId="4" fillId="12" borderId="1" xfId="0" applyFont="1" applyFill="1" applyBorder="1" applyAlignment="1">
      <alignment vertical="top"/>
    </xf>
    <xf numFmtId="0" fontId="4" fillId="12" borderId="1" xfId="0" applyFont="1" applyFill="1" applyBorder="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2" fillId="2" borderId="0" xfId="0" applyFont="1" applyFill="1"/>
    <xf numFmtId="0" fontId="4" fillId="0" borderId="0" xfId="0" applyFont="1"/>
    <xf numFmtId="0" fontId="4" fillId="5" borderId="0" xfId="0" applyFont="1" applyFill="1"/>
    <xf numFmtId="0" fontId="4" fillId="4" borderId="0" xfId="0" applyFont="1" applyFill="1"/>
    <xf numFmtId="0" fontId="4" fillId="3" borderId="0" xfId="0" applyFont="1" applyFill="1"/>
    <xf numFmtId="0" fontId="4" fillId="15" borderId="0" xfId="0" applyFont="1" applyFill="1"/>
    <xf numFmtId="0" fontId="4" fillId="7" borderId="0" xfId="0" applyFont="1" applyFill="1"/>
    <xf numFmtId="0" fontId="4" fillId="6" borderId="0" xfId="0" applyFont="1" applyFill="1"/>
    <xf numFmtId="0" fontId="3" fillId="0" borderId="0" xfId="0" applyFont="1"/>
    <xf numFmtId="0" fontId="4" fillId="0" borderId="0"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DEDED"/>
      <rgbColor rgb="00DDEBF7"/>
      <rgbColor rgb="00660066"/>
      <rgbColor rgb="00FF8080"/>
      <rgbColor rgb="000066CC"/>
      <rgbColor rgb="00FCE4D6"/>
      <rgbColor rgb="00000080"/>
      <rgbColor rgb="00FF00FF"/>
      <rgbColor rgb="00FFFF00"/>
      <rgbColor rgb="0000FFFF"/>
      <rgbColor rgb="00800080"/>
      <rgbColor rgb="00800000"/>
      <rgbColor rgb="00008080"/>
      <rgbColor rgb="000000FF"/>
      <rgbColor rgb="0000CCFF"/>
      <rgbColor rgb="00E7E6E6"/>
      <rgbColor rgb="00C6EFCE"/>
      <rgbColor rgb="00FFEB9C"/>
      <rgbColor rgb="0099CCFF"/>
      <rgbColor rgb="00FF99CC"/>
      <rgbColor rgb="00CC99FF"/>
      <rgbColor rgb="00FFC7CE"/>
      <rgbColor rgb="003366FF"/>
      <rgbColor rgb="0033CCCC"/>
      <rgbColor rgb="0099CC00"/>
      <rgbColor rgb="00FFCC00"/>
      <rgbColor rgb="00FF9900"/>
      <rgbColor rgb="00FF6600"/>
      <rgbColor rgb="0059595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topLeftCell="A3" workbookViewId="0">
      <selection activeCell="A1" sqref="A1"/>
    </sheetView>
  </sheetViews>
  <sheetFormatPr defaultColWidth="8.68181818181818" defaultRowHeight="14.5" outlineLevelCol="5"/>
  <cols>
    <col min="1" max="1" width="26" customWidth="1"/>
    <col min="2" max="2" width="12" customWidth="1"/>
    <col min="3" max="6" width="18" customWidth="1"/>
  </cols>
  <sheetData>
    <row r="1" ht="19" spans="1:2">
      <c r="A1" s="34" t="s">
        <v>0</v>
      </c>
    </row>
    <row r="2" spans="1:2">
      <c r="A2" s="35" t="s">
        <v>1</v>
      </c>
    </row>
    <row r="4" spans="1:2">
      <c r="A4" s="36" t="s">
        <v>2</v>
      </c>
    </row>
    <row r="6" spans="1:2">
      <c r="A6" s="37" t="s">
        <v>3</v>
      </c>
    </row>
    <row r="7" spans="1:2">
      <c r="A7" s="38" t="s">
        <v>4</v>
      </c>
      <c r="B7" s="38" t="s">
        <v>5</v>
      </c>
    </row>
    <row r="8" spans="1:2">
      <c r="A8" s="39" t="s">
        <v>6</v>
      </c>
      <c r="B8" s="39">
        <f>COUNTIF(Comments!G:G,"Not started")</f>
        <v>21</v>
      </c>
    </row>
    <row r="9" spans="1:2">
      <c r="A9" s="40" t="s">
        <v>7</v>
      </c>
      <c r="B9" s="39">
        <f>COUNTIF(Comments!G:G,"Planned")</f>
        <v>0</v>
      </c>
    </row>
    <row r="10" spans="1:2">
      <c r="A10" s="41" t="s">
        <v>8</v>
      </c>
      <c r="B10" s="39">
        <f>COUNTIF(Comments!G:G,"In progress")</f>
        <v>12</v>
      </c>
    </row>
    <row r="11" spans="1:2">
      <c r="A11" s="42" t="s">
        <v>9</v>
      </c>
      <c r="B11" s="39">
        <f>COUNTIF(Comments!G:G,"Blocked")</f>
        <v>1</v>
      </c>
    </row>
    <row r="12" spans="1:2">
      <c r="A12" s="43" t="s">
        <v>10</v>
      </c>
      <c r="B12" s="39">
        <f>COUNTIF(Comments!G:G,"Done")</f>
        <v>2</v>
      </c>
    </row>
    <row r="13" spans="1:2">
      <c r="A13" s="44" t="s">
        <v>11</v>
      </c>
      <c r="B13" s="39">
        <f>COUNTIF(Comments!G:G,"Dropped")</f>
        <v>0</v>
      </c>
    </row>
    <row r="14" spans="1:2">
      <c r="A14" s="45" t="s">
        <v>12</v>
      </c>
      <c r="B14" s="39">
        <f>COUNTIF(Comments!G:G,"Optional")</f>
        <v>0</v>
      </c>
    </row>
    <row r="15" spans="1:2">
      <c r="A15" s="46" t="s">
        <v>13</v>
      </c>
      <c r="B15" s="46">
        <f>COUNTA(Comments!A:A)-2</f>
        <v>36</v>
      </c>
    </row>
    <row r="18" spans="1:2">
      <c r="A18" s="37" t="s">
        <v>14</v>
      </c>
    </row>
    <row r="19" spans="1:2">
      <c r="A19" s="38" t="s">
        <v>4</v>
      </c>
      <c r="B19" s="38" t="s">
        <v>5</v>
      </c>
    </row>
    <row r="20" spans="1:2">
      <c r="A20" s="39" t="s">
        <v>6</v>
      </c>
      <c r="B20" s="39">
        <f>COUNTIF(Experiments!G:G,"Not started")</f>
        <v>8</v>
      </c>
    </row>
    <row r="21" spans="1:2">
      <c r="A21" s="40" t="s">
        <v>7</v>
      </c>
      <c r="B21" s="39">
        <f>COUNTIF(Experiments!G:G,"Planned")</f>
        <v>7</v>
      </c>
    </row>
    <row r="22" spans="1:2">
      <c r="A22" s="41" t="s">
        <v>8</v>
      </c>
      <c r="B22" s="39">
        <f>COUNTIF(Experiments!G:G,"In progress")</f>
        <v>0</v>
      </c>
    </row>
    <row r="23" spans="1:2">
      <c r="A23" s="42" t="s">
        <v>9</v>
      </c>
      <c r="B23" s="39">
        <f>COUNTIF(Experiments!G:G,"Blocked")</f>
        <v>0</v>
      </c>
    </row>
    <row r="24" spans="1:2">
      <c r="A24" s="43" t="s">
        <v>10</v>
      </c>
      <c r="B24" s="39">
        <f>COUNTIF(Experiments!G:G,"Done")</f>
        <v>0</v>
      </c>
    </row>
    <row r="25" spans="1:2">
      <c r="A25" s="44" t="s">
        <v>11</v>
      </c>
      <c r="B25" s="39">
        <f>COUNTIF(Experiments!G:G,"Dropped")</f>
        <v>2</v>
      </c>
    </row>
    <row r="26" spans="1:2">
      <c r="A26" s="45" t="s">
        <v>12</v>
      </c>
      <c r="B26" s="39">
        <f>COUNTIF(Experiments!G:G,"Optional")</f>
        <v>2</v>
      </c>
    </row>
    <row r="27" spans="1:2">
      <c r="A27" s="46" t="s">
        <v>13</v>
      </c>
      <c r="B27" s="46">
        <f>COUNTA(Experiments!A:A)-2</f>
        <v>19</v>
      </c>
    </row>
    <row r="30" spans="1:2">
      <c r="A30" s="37" t="s">
        <v>15</v>
      </c>
    </row>
    <row r="31" spans="1:2">
      <c r="A31" s="38" t="s">
        <v>4</v>
      </c>
      <c r="B31" s="38" t="s">
        <v>5</v>
      </c>
    </row>
    <row r="32" spans="1:2">
      <c r="A32" s="39" t="s">
        <v>6</v>
      </c>
      <c r="B32" s="39">
        <f>COUNTIF(Writing!E:E,"Not started")</f>
        <v>22</v>
      </c>
    </row>
    <row r="33" spans="1:2">
      <c r="A33" s="40" t="s">
        <v>7</v>
      </c>
      <c r="B33" s="39">
        <f>COUNTIF(Writing!E:E,"Planned")</f>
        <v>0</v>
      </c>
    </row>
    <row r="34" spans="1:2">
      <c r="A34" s="41" t="s">
        <v>8</v>
      </c>
      <c r="B34" s="39">
        <f>COUNTIF(Writing!E:E,"In progress")</f>
        <v>2</v>
      </c>
    </row>
    <row r="35" spans="1:2">
      <c r="A35" s="42" t="s">
        <v>9</v>
      </c>
      <c r="B35" s="39">
        <f>COUNTIF(Writing!E:E,"Blocked")</f>
        <v>2</v>
      </c>
    </row>
    <row r="36" spans="1:2">
      <c r="A36" s="43" t="s">
        <v>10</v>
      </c>
      <c r="B36" s="39">
        <f>COUNTIF(Writing!E:E,"Done")</f>
        <v>0</v>
      </c>
    </row>
    <row r="37" spans="1:2">
      <c r="A37" s="44" t="s">
        <v>11</v>
      </c>
      <c r="B37" s="39">
        <f>COUNTIF(Writing!E:E,"Dropped")</f>
        <v>0</v>
      </c>
    </row>
    <row r="38" spans="1:2">
      <c r="A38" s="45" t="s">
        <v>12</v>
      </c>
      <c r="B38" s="39">
        <f>COUNTIF(Writing!E:E,"Optional")</f>
        <v>0</v>
      </c>
    </row>
    <row r="39" spans="1:2">
      <c r="A39" s="46" t="s">
        <v>13</v>
      </c>
      <c r="B39" s="46">
        <f>COUNTA(Writing!A:A)-2</f>
        <v>26</v>
      </c>
    </row>
    <row r="42" spans="1:2">
      <c r="A42" s="37" t="s">
        <v>16</v>
      </c>
    </row>
    <row r="43" spans="1:2">
      <c r="A43" s="38" t="s">
        <v>4</v>
      </c>
      <c r="B43" s="38" t="s">
        <v>5</v>
      </c>
    </row>
    <row r="44" spans="1:2">
      <c r="A44" s="39" t="s">
        <v>6</v>
      </c>
      <c r="B44" s="39">
        <f>COUNTIF(Decisions!E:E,"Not started")</f>
        <v>0</v>
      </c>
    </row>
    <row r="45" spans="1:2">
      <c r="A45" s="40" t="s">
        <v>7</v>
      </c>
      <c r="B45" s="39">
        <f>COUNTIF(Decisions!E:E,"Planned")</f>
        <v>0</v>
      </c>
    </row>
    <row r="46" spans="1:2">
      <c r="A46" s="41" t="s">
        <v>8</v>
      </c>
      <c r="B46" s="39">
        <f>COUNTIF(Decisions!E:E,"In progress")</f>
        <v>0</v>
      </c>
    </row>
    <row r="47" spans="1:2">
      <c r="A47" s="42" t="s">
        <v>9</v>
      </c>
      <c r="B47" s="39">
        <f>COUNTIF(Decisions!E:E,"Blocked")</f>
        <v>7</v>
      </c>
    </row>
    <row r="48" spans="1:2">
      <c r="A48" s="43" t="s">
        <v>10</v>
      </c>
      <c r="B48" s="39">
        <f>COUNTIF(Decisions!E:E,"Done")</f>
        <v>0</v>
      </c>
    </row>
    <row r="49" spans="1:6">
      <c r="A49" s="44" t="s">
        <v>11</v>
      </c>
      <c r="B49" s="39">
        <f>COUNTIF(Decisions!E:E,"Dropped")</f>
        <v>0</v>
      </c>
    </row>
    <row r="50" spans="1:6">
      <c r="A50" s="45" t="s">
        <v>12</v>
      </c>
      <c r="B50" s="39">
        <f>COUNTIF(Decisions!E:E,"Optional")</f>
        <v>0</v>
      </c>
    </row>
    <row r="51" spans="1:6">
      <c r="A51" s="46" t="s">
        <v>13</v>
      </c>
      <c r="B51" s="46">
        <f>COUNTA(Decisions!A:A)-2</f>
        <v>7</v>
      </c>
    </row>
    <row r="54" spans="1:6">
      <c r="A54" s="37" t="s">
        <v>17</v>
      </c>
    </row>
    <row r="55" ht="15" customHeight="1" spans="1:6">
      <c r="A55" s="47" t="s">
        <v>18</v>
      </c>
      <c r="B55" s="47"/>
      <c r="C55" s="47"/>
      <c r="D55" s="47"/>
      <c r="E55" s="47"/>
      <c r="F55" s="47"/>
    </row>
    <row r="56" spans="1:6">
      <c r="A56" s="47"/>
      <c r="B56" s="47"/>
      <c r="C56" s="47"/>
      <c r="D56" s="47"/>
      <c r="E56" s="47"/>
      <c r="F56" s="47"/>
    </row>
    <row r="57" spans="1:6">
      <c r="A57" s="47"/>
      <c r="B57" s="47"/>
      <c r="C57" s="47"/>
      <c r="D57" s="47"/>
      <c r="E57" s="47"/>
      <c r="F57" s="47"/>
    </row>
    <row r="58" spans="1:6">
      <c r="A58" s="47"/>
      <c r="B58" s="47"/>
      <c r="C58" s="47"/>
      <c r="D58" s="47"/>
      <c r="E58" s="47"/>
      <c r="F58" s="47"/>
    </row>
  </sheetData>
  <mergeCells count="1">
    <mergeCell ref="A55:F58"/>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tabSelected="1" workbookViewId="0">
      <pane ySplit="3" topLeftCell="A11" activePane="bottomLeft" state="frozen"/>
      <selection/>
      <selection pane="bottomLeft" activeCell="D9" sqref="D9"/>
    </sheetView>
  </sheetViews>
  <sheetFormatPr defaultColWidth="8.68181818181818" defaultRowHeight="14.5"/>
  <cols>
    <col min="1" max="1" width="9" customWidth="1"/>
    <col min="2" max="2" width="10" customWidth="1"/>
    <col min="3" max="3" width="12" customWidth="1"/>
    <col min="4" max="4" width="46" customWidth="1"/>
    <col min="5" max="5" width="12" customWidth="1"/>
    <col min="6" max="6" width="15" customWidth="1"/>
    <col min="7" max="7" width="13" customWidth="1"/>
    <col min="8" max="8" width="9" customWidth="1"/>
    <col min="9" max="9" width="60" customWidth="1"/>
  </cols>
  <sheetData>
    <row r="1" ht="16.5" spans="1:9">
      <c r="A1" s="1" t="s">
        <v>19</v>
      </c>
    </row>
    <row r="3" ht="26" spans="1:9">
      <c r="A3" s="2" t="s">
        <v>20</v>
      </c>
      <c r="B3" s="2" t="s">
        <v>21</v>
      </c>
      <c r="C3" s="2" t="s">
        <v>22</v>
      </c>
      <c r="D3" s="2" t="s">
        <v>23</v>
      </c>
      <c r="E3" s="2" t="s">
        <v>24</v>
      </c>
      <c r="F3" s="2" t="s">
        <v>25</v>
      </c>
      <c r="G3" s="2" t="s">
        <v>4</v>
      </c>
      <c r="H3" s="2" t="s">
        <v>26</v>
      </c>
      <c r="I3" s="2" t="s">
        <v>27</v>
      </c>
    </row>
    <row r="4" ht="25" spans="1:9">
      <c r="A4" s="3" t="s">
        <v>28</v>
      </c>
      <c r="B4" s="5" t="s">
        <v>28</v>
      </c>
      <c r="C4" s="5" t="s">
        <v>29</v>
      </c>
      <c r="D4" s="4" t="s">
        <v>30</v>
      </c>
      <c r="E4" s="5" t="s">
        <v>31</v>
      </c>
      <c r="F4" s="5" t="s">
        <v>32</v>
      </c>
      <c r="G4" s="7" t="s">
        <v>8</v>
      </c>
      <c r="H4" s="16" t="s">
        <v>33</v>
      </c>
      <c r="I4" s="4" t="s">
        <v>34</v>
      </c>
    </row>
    <row r="5" ht="25" spans="1:9">
      <c r="A5" s="3" t="s">
        <v>35</v>
      </c>
      <c r="B5" s="5" t="s">
        <v>36</v>
      </c>
      <c r="C5" s="5" t="s">
        <v>37</v>
      </c>
      <c r="D5" s="4" t="s">
        <v>38</v>
      </c>
      <c r="E5" s="5" t="s">
        <v>39</v>
      </c>
      <c r="F5" s="5" t="s">
        <v>40</v>
      </c>
      <c r="G5" s="7" t="s">
        <v>8</v>
      </c>
      <c r="H5" s="16" t="s">
        <v>33</v>
      </c>
      <c r="I5" s="4" t="s">
        <v>41</v>
      </c>
    </row>
    <row r="6" spans="1:9">
      <c r="A6" s="3" t="s">
        <v>42</v>
      </c>
      <c r="B6" s="5" t="s">
        <v>36</v>
      </c>
      <c r="C6" s="5" t="s">
        <v>37</v>
      </c>
      <c r="D6" s="4" t="s">
        <v>43</v>
      </c>
      <c r="E6" s="5" t="s">
        <v>39</v>
      </c>
      <c r="F6" s="5" t="s">
        <v>29</v>
      </c>
      <c r="G6" s="5" t="s">
        <v>6</v>
      </c>
      <c r="H6" s="5" t="s">
        <v>44</v>
      </c>
      <c r="I6" s="4" t="s">
        <v>45</v>
      </c>
    </row>
    <row r="7" spans="1:9">
      <c r="A7" s="3" t="s">
        <v>46</v>
      </c>
      <c r="B7" s="5" t="s">
        <v>36</v>
      </c>
      <c r="C7" s="5" t="s">
        <v>37</v>
      </c>
      <c r="D7" s="4" t="s">
        <v>47</v>
      </c>
      <c r="E7" s="5" t="s">
        <v>39</v>
      </c>
      <c r="F7" s="5" t="s">
        <v>48</v>
      </c>
      <c r="G7" s="5" t="s">
        <v>6</v>
      </c>
      <c r="H7" s="5" t="s">
        <v>44</v>
      </c>
      <c r="I7" s="4" t="s">
        <v>49</v>
      </c>
    </row>
    <row r="8" spans="1:9">
      <c r="A8" s="3" t="s">
        <v>50</v>
      </c>
      <c r="B8" s="5" t="s">
        <v>36</v>
      </c>
      <c r="C8" s="5" t="s">
        <v>37</v>
      </c>
      <c r="D8" s="4" t="s">
        <v>51</v>
      </c>
      <c r="E8" s="5" t="s">
        <v>39</v>
      </c>
      <c r="F8" s="5" t="s">
        <v>29</v>
      </c>
      <c r="G8" s="5" t="s">
        <v>6</v>
      </c>
      <c r="H8" s="5" t="s">
        <v>44</v>
      </c>
      <c r="I8" s="4" t="s">
        <v>52</v>
      </c>
    </row>
    <row r="9" spans="1:9">
      <c r="A9" s="3" t="s">
        <v>53</v>
      </c>
      <c r="B9" s="5" t="s">
        <v>36</v>
      </c>
      <c r="C9" s="5" t="s">
        <v>54</v>
      </c>
      <c r="D9" s="4" t="s">
        <v>55</v>
      </c>
      <c r="E9" s="5" t="s">
        <v>56</v>
      </c>
      <c r="F9" s="5" t="s">
        <v>57</v>
      </c>
      <c r="G9" s="7" t="s">
        <v>8</v>
      </c>
      <c r="H9" s="16" t="s">
        <v>33</v>
      </c>
      <c r="I9" s="4" t="s">
        <v>58</v>
      </c>
    </row>
    <row r="10" s="11" customFormat="1" spans="1:9">
      <c r="A10" s="17" t="s">
        <v>59</v>
      </c>
      <c r="B10" s="18" t="s">
        <v>36</v>
      </c>
      <c r="C10" s="18" t="s">
        <v>29</v>
      </c>
      <c r="D10" s="19" t="s">
        <v>60</v>
      </c>
      <c r="E10" s="18" t="s">
        <v>61</v>
      </c>
      <c r="F10" s="18" t="s">
        <v>29</v>
      </c>
      <c r="G10" s="18" t="s">
        <v>6</v>
      </c>
      <c r="H10" s="18" t="s">
        <v>44</v>
      </c>
      <c r="I10" s="19" t="s">
        <v>62</v>
      </c>
    </row>
    <row r="11" spans="1:9">
      <c r="A11" s="3" t="s">
        <v>63</v>
      </c>
      <c r="B11" s="5" t="s">
        <v>63</v>
      </c>
      <c r="C11" s="5" t="s">
        <v>37</v>
      </c>
      <c r="D11" s="4" t="s">
        <v>64</v>
      </c>
      <c r="E11" s="5" t="s">
        <v>39</v>
      </c>
      <c r="F11" s="5" t="s">
        <v>29</v>
      </c>
      <c r="G11" s="5" t="s">
        <v>6</v>
      </c>
      <c r="H11" s="5" t="s">
        <v>65</v>
      </c>
      <c r="I11" s="4" t="s">
        <v>66</v>
      </c>
    </row>
    <row r="12" spans="1:9">
      <c r="A12" s="3" t="s">
        <v>67</v>
      </c>
      <c r="B12" s="5" t="s">
        <v>68</v>
      </c>
      <c r="C12" s="5" t="s">
        <v>54</v>
      </c>
      <c r="D12" s="4" t="s">
        <v>69</v>
      </c>
      <c r="E12" s="20" t="s">
        <v>56</v>
      </c>
      <c r="F12" s="5" t="s">
        <v>57</v>
      </c>
      <c r="G12" s="7" t="s">
        <v>8</v>
      </c>
      <c r="H12" s="16" t="s">
        <v>33</v>
      </c>
      <c r="I12" s="4" t="s">
        <v>70</v>
      </c>
    </row>
    <row r="13" spans="1:9">
      <c r="A13" s="3" t="s">
        <v>71</v>
      </c>
      <c r="B13" s="5" t="s">
        <v>68</v>
      </c>
      <c r="C13" s="5" t="s">
        <v>54</v>
      </c>
      <c r="D13" s="4" t="s">
        <v>72</v>
      </c>
      <c r="E13" s="5" t="s">
        <v>39</v>
      </c>
      <c r="F13" s="5" t="s">
        <v>73</v>
      </c>
      <c r="G13" s="5" t="s">
        <v>6</v>
      </c>
      <c r="H13" s="16" t="s">
        <v>33</v>
      </c>
      <c r="I13" s="4" t="s">
        <v>74</v>
      </c>
    </row>
    <row r="14" spans="1:9">
      <c r="A14" s="3" t="s">
        <v>75</v>
      </c>
      <c r="B14" s="5" t="s">
        <v>68</v>
      </c>
      <c r="C14" s="5" t="s">
        <v>37</v>
      </c>
      <c r="D14" s="4" t="s">
        <v>76</v>
      </c>
      <c r="E14" s="5" t="s">
        <v>39</v>
      </c>
      <c r="F14" s="5" t="s">
        <v>29</v>
      </c>
      <c r="G14" s="21" t="s">
        <v>10</v>
      </c>
      <c r="H14" s="5" t="s">
        <v>65</v>
      </c>
      <c r="I14" s="4" t="s">
        <v>77</v>
      </c>
    </row>
    <row r="15" spans="1:9">
      <c r="A15" s="3" t="s">
        <v>78</v>
      </c>
      <c r="B15" s="5" t="s">
        <v>68</v>
      </c>
      <c r="C15" s="5" t="s">
        <v>37</v>
      </c>
      <c r="D15" s="4" t="s">
        <v>79</v>
      </c>
      <c r="E15" s="5" t="s">
        <v>39</v>
      </c>
      <c r="F15" s="5" t="s">
        <v>29</v>
      </c>
      <c r="G15" s="7" t="s">
        <v>8</v>
      </c>
      <c r="H15" s="5" t="s">
        <v>65</v>
      </c>
      <c r="I15" s="4" t="s">
        <v>80</v>
      </c>
    </row>
    <row r="16" s="12" customFormat="1" ht="62.5" spans="1:9">
      <c r="A16" s="22" t="s">
        <v>81</v>
      </c>
      <c r="B16" s="23" t="s">
        <v>82</v>
      </c>
      <c r="C16" s="23" t="s">
        <v>83</v>
      </c>
      <c r="D16" s="24" t="s">
        <v>84</v>
      </c>
      <c r="E16" s="23" t="s">
        <v>85</v>
      </c>
      <c r="F16" s="23" t="s">
        <v>73</v>
      </c>
      <c r="G16" s="23" t="s">
        <v>6</v>
      </c>
      <c r="H16" s="23" t="s">
        <v>33</v>
      </c>
      <c r="I16" s="24" t="s">
        <v>86</v>
      </c>
    </row>
    <row r="17" s="12" customFormat="1" spans="1:9">
      <c r="A17" s="22" t="s">
        <v>87</v>
      </c>
      <c r="B17" s="23" t="s">
        <v>82</v>
      </c>
      <c r="C17" s="23" t="s">
        <v>54</v>
      </c>
      <c r="D17" s="24" t="s">
        <v>88</v>
      </c>
      <c r="E17" s="23" t="s">
        <v>56</v>
      </c>
      <c r="F17" s="23" t="s">
        <v>73</v>
      </c>
      <c r="G17" s="23" t="s">
        <v>6</v>
      </c>
      <c r="H17" s="23" t="s">
        <v>33</v>
      </c>
      <c r="I17" s="24" t="s">
        <v>89</v>
      </c>
    </row>
    <row r="18" s="12" customFormat="1" spans="1:9">
      <c r="A18" s="22" t="s">
        <v>90</v>
      </c>
      <c r="B18" s="23" t="s">
        <v>82</v>
      </c>
      <c r="C18" s="23" t="s">
        <v>54</v>
      </c>
      <c r="D18" s="24" t="s">
        <v>91</v>
      </c>
      <c r="E18" s="23" t="s">
        <v>56</v>
      </c>
      <c r="F18" s="23" t="s">
        <v>73</v>
      </c>
      <c r="G18" s="23" t="s">
        <v>6</v>
      </c>
      <c r="H18" s="23" t="s">
        <v>33</v>
      </c>
      <c r="I18" s="24" t="s">
        <v>92</v>
      </c>
    </row>
    <row r="19" spans="1:9">
      <c r="A19" s="3" t="s">
        <v>93</v>
      </c>
      <c r="B19" s="5" t="s">
        <v>82</v>
      </c>
      <c r="C19" s="5" t="s">
        <v>37</v>
      </c>
      <c r="D19" s="4" t="s">
        <v>94</v>
      </c>
      <c r="E19" s="5" t="s">
        <v>39</v>
      </c>
      <c r="F19" s="5" t="s">
        <v>48</v>
      </c>
      <c r="G19" s="5" t="s">
        <v>6</v>
      </c>
      <c r="H19" s="5" t="s">
        <v>44</v>
      </c>
      <c r="I19" s="4" t="s">
        <v>95</v>
      </c>
    </row>
    <row r="20" spans="1:9">
      <c r="A20" s="3" t="s">
        <v>96</v>
      </c>
      <c r="B20" s="5" t="s">
        <v>82</v>
      </c>
      <c r="C20" s="5" t="s">
        <v>54</v>
      </c>
      <c r="D20" s="4" t="s">
        <v>97</v>
      </c>
      <c r="E20" s="5" t="s">
        <v>39</v>
      </c>
      <c r="F20" s="5" t="s">
        <v>48</v>
      </c>
      <c r="G20" s="7" t="s">
        <v>8</v>
      </c>
      <c r="H20" s="16" t="s">
        <v>33</v>
      </c>
      <c r="I20" s="4" t="s">
        <v>98</v>
      </c>
    </row>
    <row r="21" spans="1:9">
      <c r="A21" s="3" t="s">
        <v>99</v>
      </c>
      <c r="B21" s="5" t="s">
        <v>82</v>
      </c>
      <c r="C21" s="5" t="s">
        <v>37</v>
      </c>
      <c r="D21" s="4" t="s">
        <v>100</v>
      </c>
      <c r="E21" s="5" t="s">
        <v>39</v>
      </c>
      <c r="F21" s="5" t="s">
        <v>29</v>
      </c>
      <c r="G21" s="21" t="s">
        <v>10</v>
      </c>
      <c r="H21" s="5" t="s">
        <v>65</v>
      </c>
      <c r="I21" s="4" t="s">
        <v>101</v>
      </c>
    </row>
    <row r="22" spans="1:9">
      <c r="A22" s="3" t="s">
        <v>102</v>
      </c>
      <c r="B22" s="5" t="s">
        <v>103</v>
      </c>
      <c r="C22" s="5" t="s">
        <v>37</v>
      </c>
      <c r="D22" s="4" t="s">
        <v>104</v>
      </c>
      <c r="E22" s="5" t="s">
        <v>39</v>
      </c>
      <c r="F22" s="5" t="s">
        <v>40</v>
      </c>
      <c r="G22" s="7" t="s">
        <v>8</v>
      </c>
      <c r="H22" s="16" t="s">
        <v>33</v>
      </c>
      <c r="I22" s="4" t="s">
        <v>105</v>
      </c>
    </row>
    <row r="23" spans="1:9">
      <c r="A23" s="3" t="s">
        <v>106</v>
      </c>
      <c r="B23" s="5" t="s">
        <v>103</v>
      </c>
      <c r="C23" s="5" t="s">
        <v>54</v>
      </c>
      <c r="D23" s="4" t="s">
        <v>107</v>
      </c>
      <c r="E23" s="20" t="s">
        <v>56</v>
      </c>
      <c r="F23" s="5" t="s">
        <v>57</v>
      </c>
      <c r="G23" s="7" t="s">
        <v>8</v>
      </c>
      <c r="H23" s="16" t="s">
        <v>33</v>
      </c>
      <c r="I23" s="4" t="s">
        <v>108</v>
      </c>
    </row>
    <row r="24" ht="25" spans="1:9">
      <c r="A24" s="3" t="s">
        <v>109</v>
      </c>
      <c r="B24" s="5" t="s">
        <v>103</v>
      </c>
      <c r="C24" s="5" t="s">
        <v>37</v>
      </c>
      <c r="D24" s="4" t="s">
        <v>110</v>
      </c>
      <c r="E24" s="5" t="s">
        <v>39</v>
      </c>
      <c r="F24" s="5" t="s">
        <v>111</v>
      </c>
      <c r="G24" s="5" t="s">
        <v>6</v>
      </c>
      <c r="H24" s="5" t="s">
        <v>44</v>
      </c>
      <c r="I24" s="4" t="s">
        <v>112</v>
      </c>
    </row>
    <row r="25" spans="1:9">
      <c r="A25" s="3" t="s">
        <v>113</v>
      </c>
      <c r="B25" s="5" t="s">
        <v>103</v>
      </c>
      <c r="C25" s="5" t="s">
        <v>114</v>
      </c>
      <c r="D25" s="4" t="s">
        <v>115</v>
      </c>
      <c r="E25" s="5" t="s">
        <v>116</v>
      </c>
      <c r="F25" s="5" t="s">
        <v>29</v>
      </c>
      <c r="G25" s="6" t="s">
        <v>9</v>
      </c>
      <c r="H25" s="16" t="s">
        <v>33</v>
      </c>
      <c r="I25" s="4" t="s">
        <v>117</v>
      </c>
    </row>
    <row r="26" spans="1:9">
      <c r="A26" s="3" t="s">
        <v>118</v>
      </c>
      <c r="B26" s="5" t="s">
        <v>103</v>
      </c>
      <c r="C26" s="5" t="s">
        <v>37</v>
      </c>
      <c r="D26" s="4" t="s">
        <v>119</v>
      </c>
      <c r="E26" s="5" t="s">
        <v>39</v>
      </c>
      <c r="F26" s="5" t="s">
        <v>29</v>
      </c>
      <c r="G26" s="5" t="s">
        <v>6</v>
      </c>
      <c r="H26" s="5" t="s">
        <v>65</v>
      </c>
      <c r="I26" s="4" t="s">
        <v>120</v>
      </c>
    </row>
    <row r="27" s="12" customFormat="1" spans="1:9">
      <c r="A27" s="22" t="s">
        <v>121</v>
      </c>
      <c r="B27" s="23" t="s">
        <v>103</v>
      </c>
      <c r="C27" s="23" t="s">
        <v>54</v>
      </c>
      <c r="D27" s="24" t="s">
        <v>122</v>
      </c>
      <c r="E27" s="23" t="s">
        <v>56</v>
      </c>
      <c r="F27" s="23" t="s">
        <v>73</v>
      </c>
      <c r="G27" s="23" t="s">
        <v>6</v>
      </c>
      <c r="H27" s="23" t="s">
        <v>33</v>
      </c>
      <c r="I27" s="24" t="s">
        <v>123</v>
      </c>
    </row>
    <row r="28" s="13" customFormat="1" spans="1:9">
      <c r="A28" s="25" t="s">
        <v>124</v>
      </c>
      <c r="B28" s="26" t="s">
        <v>103</v>
      </c>
      <c r="C28" s="26" t="s">
        <v>54</v>
      </c>
      <c r="D28" s="27" t="s">
        <v>125</v>
      </c>
      <c r="E28" s="26" t="s">
        <v>61</v>
      </c>
      <c r="F28" s="26" t="s">
        <v>29</v>
      </c>
      <c r="G28" s="26" t="s">
        <v>6</v>
      </c>
      <c r="H28" s="26" t="s">
        <v>44</v>
      </c>
      <c r="I28" s="27" t="s">
        <v>126</v>
      </c>
    </row>
    <row r="29" s="12" customFormat="1" spans="1:9">
      <c r="A29" s="22" t="s">
        <v>127</v>
      </c>
      <c r="B29" s="23" t="s">
        <v>103</v>
      </c>
      <c r="C29" s="23" t="s">
        <v>54</v>
      </c>
      <c r="D29" s="24" t="s">
        <v>128</v>
      </c>
      <c r="E29" s="23" t="s">
        <v>56</v>
      </c>
      <c r="F29" s="23" t="s">
        <v>73</v>
      </c>
      <c r="G29" s="23" t="s">
        <v>6</v>
      </c>
      <c r="H29" s="23" t="s">
        <v>33</v>
      </c>
      <c r="I29" s="24" t="s">
        <v>129</v>
      </c>
    </row>
    <row r="30" s="14" customFormat="1" spans="1:9">
      <c r="A30" s="28" t="s">
        <v>130</v>
      </c>
      <c r="B30" s="29" t="s">
        <v>103</v>
      </c>
      <c r="C30" s="29" t="s">
        <v>54</v>
      </c>
      <c r="D30" s="30" t="s">
        <v>131</v>
      </c>
      <c r="E30" s="29" t="s">
        <v>61</v>
      </c>
      <c r="F30" s="29" t="s">
        <v>29</v>
      </c>
      <c r="G30" s="29" t="s">
        <v>6</v>
      </c>
      <c r="H30" s="29" t="s">
        <v>33</v>
      </c>
      <c r="I30" s="30" t="s">
        <v>132</v>
      </c>
    </row>
    <row r="31" s="15" customFormat="1" spans="1:9">
      <c r="A31" s="31" t="s">
        <v>133</v>
      </c>
      <c r="B31" s="32" t="s">
        <v>103</v>
      </c>
      <c r="C31" s="32" t="s">
        <v>54</v>
      </c>
      <c r="D31" s="33" t="s">
        <v>134</v>
      </c>
      <c r="E31" s="32" t="s">
        <v>61</v>
      </c>
      <c r="F31" s="32" t="s">
        <v>29</v>
      </c>
      <c r="G31" s="32" t="s">
        <v>6</v>
      </c>
      <c r="H31" s="32" t="s">
        <v>44</v>
      </c>
      <c r="I31" s="33" t="s">
        <v>135</v>
      </c>
    </row>
    <row r="32" ht="25" spans="1:9">
      <c r="A32" s="3" t="s">
        <v>136</v>
      </c>
      <c r="B32" s="5" t="s">
        <v>103</v>
      </c>
      <c r="C32" s="5" t="s">
        <v>54</v>
      </c>
      <c r="D32" s="4" t="s">
        <v>137</v>
      </c>
      <c r="E32" s="20" t="s">
        <v>61</v>
      </c>
      <c r="F32" s="5" t="s">
        <v>29</v>
      </c>
      <c r="G32" s="5" t="s">
        <v>6</v>
      </c>
      <c r="H32" s="5" t="s">
        <v>44</v>
      </c>
      <c r="I32" s="4" t="s">
        <v>138</v>
      </c>
    </row>
    <row r="33" ht="25" spans="1:9">
      <c r="A33" s="3" t="s">
        <v>139</v>
      </c>
      <c r="B33" s="5" t="s">
        <v>103</v>
      </c>
      <c r="C33" s="5" t="s">
        <v>37</v>
      </c>
      <c r="D33" s="4" t="s">
        <v>140</v>
      </c>
      <c r="E33" s="5" t="s">
        <v>141</v>
      </c>
      <c r="F33" s="5" t="s">
        <v>29</v>
      </c>
      <c r="G33" s="7" t="s">
        <v>8</v>
      </c>
      <c r="H33" s="5" t="s">
        <v>65</v>
      </c>
      <c r="I33" s="4" t="s">
        <v>142</v>
      </c>
    </row>
    <row r="34" spans="1:9">
      <c r="A34" s="3" t="s">
        <v>143</v>
      </c>
      <c r="B34" s="5" t="s">
        <v>103</v>
      </c>
      <c r="C34" s="5" t="s">
        <v>54</v>
      </c>
      <c r="D34" s="4" t="s">
        <v>144</v>
      </c>
      <c r="E34" s="5" t="s">
        <v>39</v>
      </c>
      <c r="F34" s="5" t="s">
        <v>111</v>
      </c>
      <c r="G34" s="5" t="s">
        <v>6</v>
      </c>
      <c r="H34" s="16" t="s">
        <v>33</v>
      </c>
      <c r="I34" s="4" t="s">
        <v>145</v>
      </c>
    </row>
    <row r="35" spans="1:9">
      <c r="A35" s="3" t="s">
        <v>146</v>
      </c>
      <c r="B35" s="5" t="s">
        <v>103</v>
      </c>
      <c r="C35" s="5" t="s">
        <v>37</v>
      </c>
      <c r="D35" s="4" t="s">
        <v>147</v>
      </c>
      <c r="E35" s="5" t="s">
        <v>39</v>
      </c>
      <c r="F35" s="5" t="s">
        <v>48</v>
      </c>
      <c r="G35" s="7" t="s">
        <v>8</v>
      </c>
      <c r="H35" s="16" t="s">
        <v>33</v>
      </c>
      <c r="I35" s="4" t="s">
        <v>148</v>
      </c>
    </row>
    <row r="36" spans="1:9">
      <c r="A36" s="3" t="s">
        <v>149</v>
      </c>
      <c r="B36" s="5" t="s">
        <v>103</v>
      </c>
      <c r="C36" s="5" t="s">
        <v>37</v>
      </c>
      <c r="D36" s="4" t="s">
        <v>150</v>
      </c>
      <c r="E36" s="5" t="s">
        <v>39</v>
      </c>
      <c r="F36" s="5" t="s">
        <v>29</v>
      </c>
      <c r="G36" s="5" t="s">
        <v>6</v>
      </c>
      <c r="H36" s="5" t="s">
        <v>65</v>
      </c>
      <c r="I36" s="4" t="s">
        <v>151</v>
      </c>
    </row>
    <row r="37" spans="1:9">
      <c r="A37" s="3" t="s">
        <v>152</v>
      </c>
      <c r="B37" s="5" t="s">
        <v>153</v>
      </c>
      <c r="C37" s="5" t="s">
        <v>37</v>
      </c>
      <c r="D37" s="4" t="s">
        <v>154</v>
      </c>
      <c r="E37" s="5" t="s">
        <v>39</v>
      </c>
      <c r="F37" s="5" t="s">
        <v>155</v>
      </c>
      <c r="G37" s="7" t="s">
        <v>8</v>
      </c>
      <c r="H37" s="16" t="s">
        <v>33</v>
      </c>
      <c r="I37" s="4" t="s">
        <v>156</v>
      </c>
    </row>
    <row r="38" ht="25" spans="1:9">
      <c r="A38" s="3" t="s">
        <v>157</v>
      </c>
      <c r="B38" s="5" t="s">
        <v>153</v>
      </c>
      <c r="C38" s="5" t="s">
        <v>37</v>
      </c>
      <c r="D38" s="4" t="s">
        <v>158</v>
      </c>
      <c r="E38" s="5" t="s">
        <v>39</v>
      </c>
      <c r="F38" s="5" t="s">
        <v>29</v>
      </c>
      <c r="G38" s="5" t="s">
        <v>6</v>
      </c>
      <c r="H38" s="5" t="s">
        <v>44</v>
      </c>
      <c r="I38" s="4" t="s">
        <v>159</v>
      </c>
    </row>
    <row r="39" spans="1:9">
      <c r="A39" s="3" t="s">
        <v>160</v>
      </c>
      <c r="B39" s="5" t="s">
        <v>153</v>
      </c>
      <c r="C39" s="5" t="s">
        <v>83</v>
      </c>
      <c r="D39" s="4" t="s">
        <v>161</v>
      </c>
      <c r="E39" s="5" t="s">
        <v>39</v>
      </c>
      <c r="F39" s="5" t="s">
        <v>48</v>
      </c>
      <c r="G39" s="7" t="s">
        <v>8</v>
      </c>
      <c r="H39" s="16" t="s">
        <v>33</v>
      </c>
      <c r="I39" s="4" t="s">
        <v>162</v>
      </c>
    </row>
  </sheetData>
  <autoFilter xmlns:etc="http://www.wps.cn/officeDocument/2017/etCustomData" ref="A3:I39" etc:filterBottomFollowUsedRange="0">
    <extLst/>
  </autoFilter>
  <dataValidations count="1">
    <dataValidation type="list" allowBlank="1" sqref="G4:G79">
      <formula1>"Not started,Planned,In progress,Blocked,Done,Dropped,Optional"</formula1>
    </dataValidation>
  </dataValidation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pane ySplit="3" topLeftCell="A4" activePane="bottomLeft" state="frozen"/>
      <selection/>
      <selection pane="bottomLeft" activeCell="A1" sqref="A1"/>
    </sheetView>
  </sheetViews>
  <sheetFormatPr defaultColWidth="8.68181818181818" defaultRowHeight="14.5" outlineLevelCol="7"/>
  <cols>
    <col min="1" max="1" width="7" customWidth="1"/>
    <col min="2" max="2" width="48" customWidth="1"/>
    <col min="3" max="3" width="12" customWidth="1"/>
    <col min="4" max="4" width="28" customWidth="1"/>
    <col min="5" max="5" width="12" customWidth="1"/>
    <col min="6" max="6" width="16" customWidth="1"/>
    <col min="7" max="7" width="13" customWidth="1"/>
    <col min="8" max="8" width="70" customWidth="1"/>
  </cols>
  <sheetData>
    <row r="1" ht="16.5" spans="1:8">
      <c r="A1" s="1" t="s">
        <v>163</v>
      </c>
    </row>
    <row r="3" spans="1:8">
      <c r="A3" s="2" t="s">
        <v>164</v>
      </c>
      <c r="B3" s="2" t="s">
        <v>165</v>
      </c>
      <c r="C3" s="2" t="s">
        <v>166</v>
      </c>
      <c r="D3" s="2" t="s">
        <v>167</v>
      </c>
      <c r="E3" s="2" t="s">
        <v>168</v>
      </c>
      <c r="F3" s="2" t="s">
        <v>169</v>
      </c>
      <c r="G3" s="2" t="s">
        <v>4</v>
      </c>
      <c r="H3" s="2" t="s">
        <v>27</v>
      </c>
    </row>
    <row r="4" ht="25" spans="1:8">
      <c r="A4" s="3">
        <v>1</v>
      </c>
      <c r="B4" s="4" t="s">
        <v>170</v>
      </c>
      <c r="C4" s="5" t="s">
        <v>171</v>
      </c>
      <c r="D4" s="4" t="s">
        <v>172</v>
      </c>
      <c r="E4" s="5" t="s">
        <v>173</v>
      </c>
      <c r="F4" s="5" t="s">
        <v>106</v>
      </c>
      <c r="G4" s="8" t="s">
        <v>7</v>
      </c>
      <c r="H4" s="4" t="s">
        <v>174</v>
      </c>
    </row>
    <row r="5" ht="25" spans="1:8">
      <c r="A5" s="3">
        <v>2</v>
      </c>
      <c r="B5" s="4" t="s">
        <v>175</v>
      </c>
      <c r="C5" s="5" t="s">
        <v>171</v>
      </c>
      <c r="D5" s="4" t="s">
        <v>172</v>
      </c>
      <c r="E5" s="5" t="s">
        <v>176</v>
      </c>
      <c r="F5" s="5" t="s">
        <v>53</v>
      </c>
      <c r="G5" s="8" t="s">
        <v>7</v>
      </c>
      <c r="H5" s="4" t="s">
        <v>177</v>
      </c>
    </row>
    <row r="6" spans="1:8">
      <c r="A6" s="3">
        <v>3</v>
      </c>
      <c r="B6" s="4" t="s">
        <v>178</v>
      </c>
      <c r="C6" s="5" t="s">
        <v>171</v>
      </c>
      <c r="D6" s="4" t="s">
        <v>179</v>
      </c>
      <c r="E6" s="5" t="s">
        <v>180</v>
      </c>
      <c r="F6" s="5" t="s">
        <v>181</v>
      </c>
      <c r="G6" s="8" t="s">
        <v>7</v>
      </c>
      <c r="H6" s="4" t="s">
        <v>182</v>
      </c>
    </row>
    <row r="7" spans="1:8">
      <c r="A7" s="3">
        <v>4</v>
      </c>
      <c r="B7" s="4" t="s">
        <v>183</v>
      </c>
      <c r="C7" s="5" t="s">
        <v>171</v>
      </c>
      <c r="D7" s="4" t="s">
        <v>179</v>
      </c>
      <c r="E7" s="5" t="s">
        <v>180</v>
      </c>
      <c r="F7" s="5" t="s">
        <v>184</v>
      </c>
      <c r="G7" s="8" t="s">
        <v>7</v>
      </c>
      <c r="H7" s="4" t="s">
        <v>185</v>
      </c>
    </row>
    <row r="8" ht="25" spans="1:8">
      <c r="A8" s="3">
        <v>5</v>
      </c>
      <c r="B8" s="4" t="s">
        <v>186</v>
      </c>
      <c r="C8" s="5" t="s">
        <v>171</v>
      </c>
      <c r="D8" s="4" t="s">
        <v>179</v>
      </c>
      <c r="E8" s="5" t="s">
        <v>180</v>
      </c>
      <c r="F8" s="5" t="s">
        <v>187</v>
      </c>
      <c r="G8" s="8" t="s">
        <v>7</v>
      </c>
      <c r="H8" s="4" t="s">
        <v>188</v>
      </c>
    </row>
    <row r="9" spans="1:8">
      <c r="A9" s="3">
        <v>6</v>
      </c>
      <c r="B9" s="4" t="s">
        <v>189</v>
      </c>
      <c r="C9" s="5" t="s">
        <v>171</v>
      </c>
      <c r="D9" s="4" t="s">
        <v>190</v>
      </c>
      <c r="E9" s="5" t="s">
        <v>191</v>
      </c>
      <c r="F9" s="5" t="s">
        <v>106</v>
      </c>
      <c r="G9" s="8" t="s">
        <v>7</v>
      </c>
      <c r="H9" s="4" t="s">
        <v>192</v>
      </c>
    </row>
    <row r="10" spans="1:8">
      <c r="A10" s="3">
        <v>7</v>
      </c>
      <c r="B10" s="4" t="s">
        <v>193</v>
      </c>
      <c r="C10" s="5" t="s">
        <v>171</v>
      </c>
      <c r="D10" s="4" t="s">
        <v>194</v>
      </c>
      <c r="E10" s="5" t="s">
        <v>180</v>
      </c>
      <c r="F10" s="5" t="s">
        <v>195</v>
      </c>
      <c r="G10" s="8" t="s">
        <v>7</v>
      </c>
      <c r="H10" s="4" t="s">
        <v>196</v>
      </c>
    </row>
    <row r="11" ht="25" spans="1:8">
      <c r="A11" s="3">
        <v>8</v>
      </c>
      <c r="B11" s="4" t="s">
        <v>197</v>
      </c>
      <c r="C11" s="5" t="s">
        <v>171</v>
      </c>
      <c r="D11" s="4" t="s">
        <v>179</v>
      </c>
      <c r="E11" s="5" t="s">
        <v>180</v>
      </c>
      <c r="F11" s="5" t="s">
        <v>106</v>
      </c>
      <c r="G11" s="9" t="s">
        <v>12</v>
      </c>
      <c r="H11" s="4" t="s">
        <v>198</v>
      </c>
    </row>
    <row r="12" spans="1:8">
      <c r="A12" s="3">
        <v>9</v>
      </c>
      <c r="B12" s="4" t="s">
        <v>199</v>
      </c>
      <c r="C12" s="5" t="s">
        <v>171</v>
      </c>
      <c r="D12" s="4" t="s">
        <v>200</v>
      </c>
      <c r="E12" s="5" t="s">
        <v>201</v>
      </c>
      <c r="F12" s="5" t="s">
        <v>53</v>
      </c>
      <c r="G12" s="9" t="s">
        <v>12</v>
      </c>
      <c r="H12" s="4" t="s">
        <v>202</v>
      </c>
    </row>
    <row r="13" spans="1:8">
      <c r="A13" s="3">
        <v>10</v>
      </c>
      <c r="B13" s="4" t="s">
        <v>203</v>
      </c>
      <c r="C13" s="5" t="s">
        <v>171</v>
      </c>
      <c r="D13" s="4" t="s">
        <v>29</v>
      </c>
      <c r="E13" s="5" t="s">
        <v>29</v>
      </c>
      <c r="F13" s="5" t="s">
        <v>106</v>
      </c>
      <c r="G13" s="10" t="s">
        <v>11</v>
      </c>
      <c r="H13" s="4" t="s">
        <v>204</v>
      </c>
    </row>
    <row r="14" spans="1:8">
      <c r="A14" s="3">
        <v>11</v>
      </c>
      <c r="B14" s="4" t="s">
        <v>205</v>
      </c>
      <c r="C14" s="5" t="s">
        <v>171</v>
      </c>
      <c r="D14" s="4" t="s">
        <v>29</v>
      </c>
      <c r="E14" s="5" t="s">
        <v>29</v>
      </c>
      <c r="F14" s="5" t="s">
        <v>106</v>
      </c>
      <c r="G14" s="10" t="s">
        <v>11</v>
      </c>
      <c r="H14" s="4" t="s">
        <v>206</v>
      </c>
    </row>
    <row r="15" ht="25" spans="1:8">
      <c r="A15" s="3">
        <v>12</v>
      </c>
      <c r="B15" s="4" t="s">
        <v>207</v>
      </c>
      <c r="C15" s="5" t="s">
        <v>208</v>
      </c>
      <c r="D15" s="4" t="s">
        <v>209</v>
      </c>
      <c r="E15" s="5" t="s">
        <v>210</v>
      </c>
      <c r="F15" s="5" t="s">
        <v>211</v>
      </c>
      <c r="G15" s="5" t="s">
        <v>6</v>
      </c>
      <c r="H15" s="4" t="s">
        <v>212</v>
      </c>
    </row>
    <row r="16" spans="1:8">
      <c r="A16" s="3">
        <v>13</v>
      </c>
      <c r="B16" s="4" t="s">
        <v>213</v>
      </c>
      <c r="C16" s="5" t="s">
        <v>214</v>
      </c>
      <c r="D16" s="4" t="s">
        <v>179</v>
      </c>
      <c r="E16" s="5" t="s">
        <v>210</v>
      </c>
      <c r="F16" s="5" t="s">
        <v>215</v>
      </c>
      <c r="G16" s="5" t="s">
        <v>6</v>
      </c>
      <c r="H16" s="4" t="s">
        <v>216</v>
      </c>
    </row>
    <row r="17" spans="1:8">
      <c r="A17" s="3">
        <v>14</v>
      </c>
      <c r="B17" s="4" t="s">
        <v>217</v>
      </c>
      <c r="C17" s="5" t="s">
        <v>61</v>
      </c>
      <c r="D17" s="4" t="s">
        <v>218</v>
      </c>
      <c r="E17" s="5" t="s">
        <v>219</v>
      </c>
      <c r="F17" s="5" t="s">
        <v>59</v>
      </c>
      <c r="G17" s="5" t="s">
        <v>6</v>
      </c>
      <c r="H17" s="4" t="s">
        <v>220</v>
      </c>
    </row>
    <row r="18" ht="25" spans="1:8">
      <c r="A18" s="3">
        <v>15</v>
      </c>
      <c r="B18" s="4" t="s">
        <v>221</v>
      </c>
      <c r="C18" s="5" t="s">
        <v>61</v>
      </c>
      <c r="D18" s="4" t="s">
        <v>222</v>
      </c>
      <c r="E18" s="5" t="s">
        <v>219</v>
      </c>
      <c r="F18" s="5" t="s">
        <v>90</v>
      </c>
      <c r="G18" s="5" t="s">
        <v>6</v>
      </c>
      <c r="H18" s="4" t="s">
        <v>223</v>
      </c>
    </row>
    <row r="19" ht="25" spans="1:8">
      <c r="A19" s="3">
        <v>16</v>
      </c>
      <c r="B19" s="4" t="s">
        <v>224</v>
      </c>
      <c r="C19" s="5" t="s">
        <v>61</v>
      </c>
      <c r="D19" s="4" t="s">
        <v>225</v>
      </c>
      <c r="E19" s="5" t="s">
        <v>219</v>
      </c>
      <c r="F19" s="5" t="s">
        <v>130</v>
      </c>
      <c r="G19" s="5" t="s">
        <v>6</v>
      </c>
      <c r="H19" s="4" t="s">
        <v>226</v>
      </c>
    </row>
    <row r="20" spans="1:8">
      <c r="A20" s="3">
        <v>17</v>
      </c>
      <c r="B20" s="4" t="s">
        <v>227</v>
      </c>
      <c r="C20" s="5" t="s">
        <v>61</v>
      </c>
      <c r="D20" s="4" t="s">
        <v>194</v>
      </c>
      <c r="E20" s="5" t="s">
        <v>219</v>
      </c>
      <c r="F20" s="5" t="s">
        <v>133</v>
      </c>
      <c r="G20" s="5" t="s">
        <v>6</v>
      </c>
      <c r="H20" s="4" t="s">
        <v>228</v>
      </c>
    </row>
    <row r="21" spans="1:8">
      <c r="A21" s="3">
        <v>18</v>
      </c>
      <c r="B21" s="4" t="s">
        <v>229</v>
      </c>
      <c r="C21" s="5" t="s">
        <v>61</v>
      </c>
      <c r="D21" s="4" t="s">
        <v>230</v>
      </c>
      <c r="E21" s="5" t="s">
        <v>219</v>
      </c>
      <c r="F21" s="5" t="s">
        <v>136</v>
      </c>
      <c r="G21" s="5" t="s">
        <v>6</v>
      </c>
      <c r="H21" s="4" t="s">
        <v>231</v>
      </c>
    </row>
    <row r="22" spans="1:8">
      <c r="A22" s="3">
        <v>19</v>
      </c>
      <c r="B22" s="4" t="s">
        <v>232</v>
      </c>
      <c r="C22" s="5" t="s">
        <v>61</v>
      </c>
      <c r="D22" s="4" t="s">
        <v>233</v>
      </c>
      <c r="E22" s="5" t="s">
        <v>219</v>
      </c>
      <c r="F22" s="5" t="s">
        <v>124</v>
      </c>
      <c r="G22" s="5" t="s">
        <v>6</v>
      </c>
      <c r="H22" s="4" t="s">
        <v>234</v>
      </c>
    </row>
  </sheetData>
  <autoFilter xmlns:etc="http://www.wps.cn/officeDocument/2017/etCustomData" ref="A3:H22" etc:filterBottomFollowUsedRange="0">
    <extLst/>
  </autoFilter>
  <dataValidations count="1">
    <dataValidation type="list" allowBlank="1" sqref="G4:G62">
      <formula1>"Not started,Planned,In progress,Blocked,Done,Dropped,Optional"</formula1>
    </dataValidation>
  </dataValidation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workbookViewId="0">
      <pane ySplit="3" topLeftCell="A4" activePane="bottomLeft" state="frozen"/>
      <selection/>
      <selection pane="bottomLeft" activeCell="A1" sqref="A1"/>
    </sheetView>
  </sheetViews>
  <sheetFormatPr defaultColWidth="8.68181818181818" defaultRowHeight="14.5" outlineLevelCol="5"/>
  <cols>
    <col min="1" max="1" width="7" customWidth="1"/>
    <col min="2" max="2" width="58" customWidth="1"/>
    <col min="3" max="4" width="22" customWidth="1"/>
    <col min="5" max="5" width="13" customWidth="1"/>
    <col min="6" max="6" width="62" customWidth="1"/>
  </cols>
  <sheetData>
    <row r="1" ht="16.5" spans="1:6">
      <c r="A1" s="1" t="s">
        <v>235</v>
      </c>
    </row>
    <row r="3" spans="1:6">
      <c r="A3" s="2" t="s">
        <v>20</v>
      </c>
      <c r="B3" s="2" t="s">
        <v>236</v>
      </c>
      <c r="C3" s="2" t="s">
        <v>237</v>
      </c>
      <c r="D3" s="2" t="s">
        <v>238</v>
      </c>
      <c r="E3" s="2" t="s">
        <v>4</v>
      </c>
      <c r="F3" s="2" t="s">
        <v>27</v>
      </c>
    </row>
    <row r="4" ht="25" spans="1:6">
      <c r="A4" s="3" t="s">
        <v>239</v>
      </c>
      <c r="B4" s="4" t="s">
        <v>240</v>
      </c>
      <c r="C4" s="4" t="s">
        <v>241</v>
      </c>
      <c r="D4" s="4" t="s">
        <v>242</v>
      </c>
      <c r="E4" s="7" t="s">
        <v>8</v>
      </c>
      <c r="F4" s="4" t="s">
        <v>243</v>
      </c>
    </row>
    <row r="5" spans="1:6">
      <c r="A5" s="3" t="s">
        <v>244</v>
      </c>
      <c r="B5" s="4" t="s">
        <v>245</v>
      </c>
      <c r="C5" s="4" t="s">
        <v>246</v>
      </c>
      <c r="D5" s="4" t="s">
        <v>48</v>
      </c>
      <c r="E5" s="5" t="s">
        <v>6</v>
      </c>
      <c r="F5" s="4" t="s">
        <v>247</v>
      </c>
    </row>
    <row r="6" spans="1:6">
      <c r="A6" s="3" t="s">
        <v>248</v>
      </c>
      <c r="B6" s="4" t="s">
        <v>249</v>
      </c>
      <c r="C6" s="4" t="s">
        <v>250</v>
      </c>
      <c r="D6" s="4" t="s">
        <v>251</v>
      </c>
      <c r="E6" s="5" t="s">
        <v>6</v>
      </c>
      <c r="F6" s="4" t="s">
        <v>252</v>
      </c>
    </row>
    <row r="7" ht="25" spans="1:6">
      <c r="A7" s="3" t="s">
        <v>253</v>
      </c>
      <c r="B7" s="4" t="s">
        <v>254</v>
      </c>
      <c r="C7" s="4" t="s">
        <v>250</v>
      </c>
      <c r="D7" s="4" t="s">
        <v>251</v>
      </c>
      <c r="E7" s="5" t="s">
        <v>6</v>
      </c>
      <c r="F7" s="4" t="s">
        <v>255</v>
      </c>
    </row>
    <row r="8" spans="1:6">
      <c r="A8" s="3" t="s">
        <v>256</v>
      </c>
      <c r="B8" s="4" t="s">
        <v>257</v>
      </c>
      <c r="C8" s="4" t="s">
        <v>258</v>
      </c>
      <c r="D8" s="4" t="s">
        <v>251</v>
      </c>
      <c r="E8" s="5" t="s">
        <v>6</v>
      </c>
      <c r="F8" s="4" t="s">
        <v>259</v>
      </c>
    </row>
    <row r="9" spans="1:6">
      <c r="A9" s="3" t="s">
        <v>260</v>
      </c>
      <c r="B9" s="4" t="s">
        <v>261</v>
      </c>
      <c r="C9" s="4" t="s">
        <v>262</v>
      </c>
      <c r="D9" s="4" t="s">
        <v>48</v>
      </c>
      <c r="E9" s="5" t="s">
        <v>6</v>
      </c>
      <c r="F9" s="4" t="s">
        <v>263</v>
      </c>
    </row>
    <row r="10" spans="1:6">
      <c r="A10" s="3" t="s">
        <v>264</v>
      </c>
      <c r="B10" s="4" t="s">
        <v>265</v>
      </c>
      <c r="C10" s="4" t="s">
        <v>266</v>
      </c>
      <c r="D10" s="4" t="s">
        <v>48</v>
      </c>
      <c r="E10" s="6" t="s">
        <v>9</v>
      </c>
      <c r="F10" s="4" t="s">
        <v>267</v>
      </c>
    </row>
    <row r="11" spans="1:6">
      <c r="A11" s="3" t="s">
        <v>268</v>
      </c>
      <c r="B11" s="4" t="s">
        <v>269</v>
      </c>
      <c r="C11" s="4" t="s">
        <v>270</v>
      </c>
      <c r="D11" s="4" t="s">
        <v>48</v>
      </c>
      <c r="E11" s="5" t="s">
        <v>6</v>
      </c>
      <c r="F11" s="4" t="s">
        <v>271</v>
      </c>
    </row>
    <row r="12" spans="1:6">
      <c r="A12" s="3" t="s">
        <v>272</v>
      </c>
      <c r="B12" s="4" t="s">
        <v>273</v>
      </c>
      <c r="C12" s="4" t="s">
        <v>274</v>
      </c>
      <c r="D12" s="4" t="s">
        <v>275</v>
      </c>
      <c r="E12" s="5" t="s">
        <v>6</v>
      </c>
      <c r="F12" s="4" t="s">
        <v>276</v>
      </c>
    </row>
    <row r="13" spans="1:6">
      <c r="A13" s="3" t="s">
        <v>277</v>
      </c>
      <c r="B13" s="4" t="s">
        <v>278</v>
      </c>
      <c r="C13" s="4" t="s">
        <v>246</v>
      </c>
      <c r="D13" s="4" t="s">
        <v>111</v>
      </c>
      <c r="E13" s="5" t="s">
        <v>6</v>
      </c>
      <c r="F13" s="4" t="s">
        <v>279</v>
      </c>
    </row>
    <row r="14" spans="1:6">
      <c r="A14" s="3" t="s">
        <v>280</v>
      </c>
      <c r="B14" s="4" t="s">
        <v>281</v>
      </c>
      <c r="C14" s="4" t="s">
        <v>250</v>
      </c>
      <c r="D14" s="4" t="s">
        <v>50</v>
      </c>
      <c r="E14" s="5" t="s">
        <v>6</v>
      </c>
      <c r="F14" s="4"/>
    </row>
    <row r="15" spans="1:6">
      <c r="A15" s="3" t="s">
        <v>282</v>
      </c>
      <c r="B15" s="4" t="s">
        <v>283</v>
      </c>
      <c r="C15" s="4" t="s">
        <v>284</v>
      </c>
      <c r="D15" s="4" t="s">
        <v>118</v>
      </c>
      <c r="E15" s="5" t="s">
        <v>6</v>
      </c>
      <c r="F15" s="4" t="s">
        <v>285</v>
      </c>
    </row>
    <row r="16" spans="1:6">
      <c r="A16" s="3" t="s">
        <v>286</v>
      </c>
      <c r="B16" s="4" t="s">
        <v>287</v>
      </c>
      <c r="C16" s="4" t="s">
        <v>288</v>
      </c>
      <c r="D16" s="4" t="s">
        <v>78</v>
      </c>
      <c r="E16" s="7" t="s">
        <v>8</v>
      </c>
      <c r="F16" s="4"/>
    </row>
    <row r="17" spans="1:6">
      <c r="A17" s="3" t="s">
        <v>289</v>
      </c>
      <c r="B17" s="4" t="s">
        <v>290</v>
      </c>
      <c r="C17" s="4" t="s">
        <v>250</v>
      </c>
      <c r="D17" s="4" t="s">
        <v>291</v>
      </c>
      <c r="E17" s="5" t="s">
        <v>6</v>
      </c>
      <c r="F17" s="4" t="s">
        <v>292</v>
      </c>
    </row>
    <row r="18" spans="1:6">
      <c r="A18" s="3" t="s">
        <v>293</v>
      </c>
      <c r="B18" s="4" t="s">
        <v>294</v>
      </c>
      <c r="C18" s="4" t="s">
        <v>295</v>
      </c>
      <c r="D18" s="4" t="s">
        <v>42</v>
      </c>
      <c r="E18" s="5" t="s">
        <v>6</v>
      </c>
      <c r="F18" s="4"/>
    </row>
    <row r="19" spans="1:6">
      <c r="A19" s="3" t="s">
        <v>296</v>
      </c>
      <c r="B19" s="4" t="s">
        <v>297</v>
      </c>
      <c r="C19" s="4" t="s">
        <v>274</v>
      </c>
      <c r="D19" s="4" t="s">
        <v>46</v>
      </c>
      <c r="E19" s="5" t="s">
        <v>6</v>
      </c>
      <c r="F19" s="4"/>
    </row>
    <row r="20" spans="1:6">
      <c r="A20" s="3" t="s">
        <v>298</v>
      </c>
      <c r="B20" s="4" t="s">
        <v>299</v>
      </c>
      <c r="C20" s="4" t="s">
        <v>274</v>
      </c>
      <c r="D20" s="4" t="s">
        <v>93</v>
      </c>
      <c r="E20" s="5" t="s">
        <v>6</v>
      </c>
      <c r="F20" s="4" t="s">
        <v>300</v>
      </c>
    </row>
    <row r="21" spans="1:6">
      <c r="A21" s="3" t="s">
        <v>301</v>
      </c>
      <c r="B21" s="4" t="s">
        <v>302</v>
      </c>
      <c r="C21" s="4" t="s">
        <v>303</v>
      </c>
      <c r="D21" s="4" t="s">
        <v>139</v>
      </c>
      <c r="E21" s="5" t="s">
        <v>6</v>
      </c>
      <c r="F21" s="4" t="s">
        <v>304</v>
      </c>
    </row>
    <row r="22" spans="1:6">
      <c r="A22" s="3" t="s">
        <v>305</v>
      </c>
      <c r="B22" s="4" t="s">
        <v>306</v>
      </c>
      <c r="C22" s="4" t="s">
        <v>307</v>
      </c>
      <c r="D22" s="4" t="s">
        <v>157</v>
      </c>
      <c r="E22" s="5" t="s">
        <v>6</v>
      </c>
      <c r="F22" s="4" t="s">
        <v>308</v>
      </c>
    </row>
    <row r="23" spans="1:6">
      <c r="A23" s="3" t="s">
        <v>309</v>
      </c>
      <c r="B23" s="4" t="s">
        <v>310</v>
      </c>
      <c r="C23" s="4" t="s">
        <v>295</v>
      </c>
      <c r="D23" s="4" t="s">
        <v>149</v>
      </c>
      <c r="E23" s="5" t="s">
        <v>6</v>
      </c>
      <c r="F23" s="4" t="s">
        <v>311</v>
      </c>
    </row>
    <row r="24" spans="1:6">
      <c r="A24" s="3" t="s">
        <v>312</v>
      </c>
      <c r="B24" s="4" t="s">
        <v>313</v>
      </c>
      <c r="C24" s="4" t="s">
        <v>314</v>
      </c>
      <c r="D24" s="4" t="s">
        <v>57</v>
      </c>
      <c r="E24" s="5" t="s">
        <v>6</v>
      </c>
      <c r="F24" s="4" t="s">
        <v>315</v>
      </c>
    </row>
    <row r="25" spans="1:6">
      <c r="A25" s="3" t="s">
        <v>316</v>
      </c>
      <c r="B25" s="4" t="s">
        <v>317</v>
      </c>
      <c r="C25" s="4" t="s">
        <v>318</v>
      </c>
      <c r="D25" s="4" t="s">
        <v>29</v>
      </c>
      <c r="E25" s="5" t="s">
        <v>6</v>
      </c>
      <c r="F25" s="4" t="s">
        <v>319</v>
      </c>
    </row>
    <row r="26" spans="1:6">
      <c r="A26" s="3" t="s">
        <v>320</v>
      </c>
      <c r="B26" s="4" t="s">
        <v>321</v>
      </c>
      <c r="C26" s="4" t="s">
        <v>322</v>
      </c>
      <c r="D26" s="4" t="s">
        <v>40</v>
      </c>
      <c r="E26" s="5" t="s">
        <v>6</v>
      </c>
      <c r="F26" s="4" t="s">
        <v>323</v>
      </c>
    </row>
    <row r="27" spans="1:6">
      <c r="A27" s="3" t="s">
        <v>324</v>
      </c>
      <c r="B27" s="4" t="s">
        <v>325</v>
      </c>
      <c r="C27" s="4" t="s">
        <v>326</v>
      </c>
      <c r="D27" s="4" t="s">
        <v>63</v>
      </c>
      <c r="E27" s="5" t="s">
        <v>6</v>
      </c>
      <c r="F27" s="4"/>
    </row>
    <row r="28" spans="1:6">
      <c r="A28" s="3" t="s">
        <v>327</v>
      </c>
      <c r="B28" s="4" t="s">
        <v>328</v>
      </c>
      <c r="C28" s="4" t="s">
        <v>329</v>
      </c>
      <c r="D28" s="4" t="s">
        <v>63</v>
      </c>
      <c r="E28" s="5" t="s">
        <v>6</v>
      </c>
      <c r="F28" s="4"/>
    </row>
    <row r="29" spans="1:6">
      <c r="A29" s="3" t="s">
        <v>330</v>
      </c>
      <c r="B29" s="4" t="s">
        <v>331</v>
      </c>
      <c r="C29" s="4" t="s">
        <v>332</v>
      </c>
      <c r="D29" s="4" t="s">
        <v>113</v>
      </c>
      <c r="E29" s="6" t="s">
        <v>9</v>
      </c>
      <c r="F29" s="4" t="s">
        <v>117</v>
      </c>
    </row>
  </sheetData>
  <autoFilter xmlns:etc="http://www.wps.cn/officeDocument/2017/etCustomData" ref="A3:F29" etc:filterBottomFollowUsedRange="0">
    <extLst/>
  </autoFilter>
  <dataValidations count="1">
    <dataValidation type="list" allowBlank="1" sqref="E4:E69">
      <formula1>"Not started,Planned,In progress,Blocked,Done,Dropped,Optional"</formula1>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pane ySplit="3" topLeftCell="A4" activePane="bottomLeft" state="frozen"/>
      <selection/>
      <selection pane="bottomLeft" activeCell="A1" sqref="A1"/>
    </sheetView>
  </sheetViews>
  <sheetFormatPr defaultColWidth="8.68181818181818" defaultRowHeight="14.5" outlineLevelCol="5"/>
  <cols>
    <col min="1" max="1" width="7" customWidth="1"/>
    <col min="2" max="2" width="62" customWidth="1"/>
    <col min="3" max="3" width="24" customWidth="1"/>
    <col min="4" max="4" width="10" customWidth="1"/>
    <col min="5" max="5" width="13" customWidth="1"/>
    <col min="6" max="6" width="46" customWidth="1"/>
  </cols>
  <sheetData>
    <row r="1" ht="16.5" spans="1:6">
      <c r="A1" s="1" t="s">
        <v>333</v>
      </c>
    </row>
    <row r="3" spans="1:6">
      <c r="A3" s="2" t="s">
        <v>20</v>
      </c>
      <c r="B3" s="2" t="s">
        <v>116</v>
      </c>
      <c r="C3" s="2" t="s">
        <v>238</v>
      </c>
      <c r="D3" s="2" t="s">
        <v>334</v>
      </c>
      <c r="E3" s="2" t="s">
        <v>4</v>
      </c>
      <c r="F3" s="2" t="s">
        <v>335</v>
      </c>
    </row>
    <row r="4" ht="25" spans="1:6">
      <c r="A4" s="3" t="s">
        <v>336</v>
      </c>
      <c r="B4" s="4" t="s">
        <v>337</v>
      </c>
      <c r="C4" s="4" t="s">
        <v>338</v>
      </c>
      <c r="D4" s="5" t="s">
        <v>33</v>
      </c>
      <c r="E4" s="6" t="s">
        <v>9</v>
      </c>
      <c r="F4" s="4"/>
    </row>
    <row r="5" spans="1:6">
      <c r="A5" s="3" t="s">
        <v>339</v>
      </c>
      <c r="B5" s="4" t="s">
        <v>340</v>
      </c>
      <c r="C5" s="4" t="s">
        <v>341</v>
      </c>
      <c r="D5" s="5" t="s">
        <v>44</v>
      </c>
      <c r="E5" s="6" t="s">
        <v>9</v>
      </c>
      <c r="F5" s="4"/>
    </row>
    <row r="6" spans="1:6">
      <c r="A6" s="3" t="s">
        <v>342</v>
      </c>
      <c r="B6" s="4" t="s">
        <v>343</v>
      </c>
      <c r="C6" s="4" t="s">
        <v>344</v>
      </c>
      <c r="D6" s="5" t="s">
        <v>33</v>
      </c>
      <c r="E6" s="6" t="s">
        <v>9</v>
      </c>
      <c r="F6" s="4"/>
    </row>
    <row r="7" spans="1:6">
      <c r="A7" s="3" t="s">
        <v>345</v>
      </c>
      <c r="B7" s="4" t="s">
        <v>346</v>
      </c>
      <c r="C7" s="4" t="s">
        <v>57</v>
      </c>
      <c r="D7" s="5" t="s">
        <v>65</v>
      </c>
      <c r="E7" s="6" t="s">
        <v>9</v>
      </c>
      <c r="F7" s="4"/>
    </row>
    <row r="8" spans="1:6">
      <c r="A8" s="3" t="s">
        <v>347</v>
      </c>
      <c r="B8" s="4" t="s">
        <v>348</v>
      </c>
      <c r="C8" s="4" t="s">
        <v>349</v>
      </c>
      <c r="D8" s="5" t="s">
        <v>65</v>
      </c>
      <c r="E8" s="6" t="s">
        <v>9</v>
      </c>
      <c r="F8" s="4"/>
    </row>
    <row r="9" ht="25" spans="1:6">
      <c r="A9" s="3" t="s">
        <v>350</v>
      </c>
      <c r="B9" s="4" t="s">
        <v>351</v>
      </c>
      <c r="C9" s="4" t="s">
        <v>352</v>
      </c>
      <c r="D9" s="5" t="s">
        <v>65</v>
      </c>
      <c r="E9" s="6" t="s">
        <v>9</v>
      </c>
      <c r="F9" s="4"/>
    </row>
    <row r="10" spans="1:6">
      <c r="A10" s="3" t="s">
        <v>353</v>
      </c>
      <c r="B10" s="4" t="s">
        <v>354</v>
      </c>
      <c r="C10" s="4" t="s">
        <v>355</v>
      </c>
      <c r="D10" s="5" t="s">
        <v>44</v>
      </c>
      <c r="E10" s="6" t="s">
        <v>9</v>
      </c>
      <c r="F10" s="4"/>
    </row>
  </sheetData>
  <autoFilter xmlns:etc="http://www.wps.cn/officeDocument/2017/etCustomData" ref="A3:F10" etc:filterBottomFollowUsedRange="0">
    <extLst/>
  </autoFilter>
  <dataValidations count="1">
    <dataValidation type="list" allowBlank="1" sqref="E4:E50">
      <formula1>"Not started,Planned,In progress,Blocked,Done,Dropped,Optional"</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Overview</vt:lpstr>
      <vt:lpstr>Comments</vt:lpstr>
      <vt:lpstr>Experiments</vt:lpstr>
      <vt:lpstr>Writing</vt:lpstr>
      <vt:lpstr>Decisions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google1585079158</cp:lastModifiedBy>
  <cp:revision>0</cp:revision>
  <dcterms:created xsi:type="dcterms:W3CDTF">2026-09-09T16:37:00Z</dcterms:created>
  <dcterms:modified xsi:type="dcterms:W3CDTF">2026-09-22T08:41:04Z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6AF76E73510744E1B30364384D2435A0_12</vt:lpwstr>
  </property>
  <property fmtid="{D5CDD505-2E9C-101B-9397-08002B2CF9AE}" pid="3" name="KSOProductBuildVer">
    <vt:lpwstr>1033-12.1.0.28485</vt:lpwstr>
  </property>
  <property fmtid="{D5CDD505-2E9C-101B-9397-08002B2CF9AE}" pid="4" name="CalculationRule">
    <vt:i4>0</vt:i4>
  </property>
</Properties>
</file>