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Comments" sheetId="2" state="visible" r:id="rId4"/>
    <sheet name="Experiments" sheetId="3" state="visible" r:id="rId5"/>
    <sheet name="Writing" sheetId="4" state="visible" r:id="rId6"/>
    <sheet name="Decisions" sheetId="5" state="visible" r:id="rId7"/>
  </sheets>
  <definedNames>
    <definedName function="false" hidden="true" localSheetId="1" name="_xlnm._FilterDatabase" vbProcedure="false">Comments!$A$3:$I$39</definedName>
    <definedName function="false" hidden="true" localSheetId="4" name="_xlnm._FilterDatabase" vbProcedure="false">Decisions!$A$3:$F$10</definedName>
    <definedName function="false" hidden="true" localSheetId="2" name="_xlnm._FilterDatabase" vbProcedure="false">Experiments!$A$3:$H$22</definedName>
    <definedName function="false" hidden="true" localSheetId="3" name="_xlnm._FilterDatabase" vbProcedure="false">Writing!$A$3:$F$29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<sst xmlns="http://schemas.openxmlformats.org/spreadsheetml/2006/main" count="724" uniqueCount="355">
  <si>
    <t xml:space="preserve">DecVAE revision tracker</t>
  </si>
  <si>
    <t xml:space="preserve">npj Artificial Intelligence, submission c86c5415-7be3-43e1-8a57-9b3e782755ae</t>
  </si>
  <si>
    <t xml:space="preserve">Update the Status column on each sheet. The counts below follow automatically.</t>
  </si>
  <si>
    <t xml:space="preserve">Reviewer comments</t>
  </si>
  <si>
    <t xml:space="preserve">Status</t>
  </si>
  <si>
    <t xml:space="preserve">Count</t>
  </si>
  <si>
    <t xml:space="preserve">Not started</t>
  </si>
  <si>
    <t xml:space="preserve">Planned</t>
  </si>
  <si>
    <t xml:space="preserve">In progress</t>
  </si>
  <si>
    <t xml:space="preserve">Blocked</t>
  </si>
  <si>
    <t xml:space="preserve">Done</t>
  </si>
  <si>
    <t xml:space="preserve">Dropped</t>
  </si>
  <si>
    <t xml:space="preserve">Optional</t>
  </si>
  <si>
    <t xml:space="preserve">Total</t>
  </si>
  <si>
    <t xml:space="preserve">Experiments and analyses</t>
  </si>
  <si>
    <t xml:space="preserve">Writing tasks</t>
  </si>
  <si>
    <t xml:space="preserve">Open decisions</t>
  </si>
  <si>
    <t xml:space="preserve">Key sequencing note</t>
  </si>
  <si>
    <t xml:space="preserve">Experiment ranks 1 and 2 need no GPU and can run alongside everything else. Among the GPU jobs, run CoST first: it is the most dangerous comparison, so the result is worth having early. Ranks 1 to 7 are the defensible minimum and close every named baseline request. Ranks 8 and 9 make the paper stronger rather than merely compliant.</t>
  </si>
  <si>
    <t xml:space="preserve">Reviewer comments (35 comments + editor)</t>
  </si>
  <si>
    <t xml:space="preserve">ID</t>
  </si>
  <si>
    <t xml:space="preserve">Reviewer</t>
  </si>
  <si>
    <t xml:space="preserve">Severity</t>
  </si>
  <si>
    <t xml:space="preserve">Comment</t>
  </si>
  <si>
    <t xml:space="preserve">Type</t>
  </si>
  <si>
    <t xml:space="preserve">Master response</t>
  </si>
  <si>
    <t xml:space="preserve">Priority</t>
  </si>
  <si>
    <t xml:space="preserve">Notes</t>
  </si>
  <si>
    <t xml:space="preserve">Editor</t>
  </si>
  <si>
    <t xml:space="preserve">-</t>
  </si>
  <si>
    <t xml:space="preserve">Four themes: framing, baselines, disentanglement evidence, presentation</t>
  </si>
  <si>
    <t xml:space="preserve">Umbrella</t>
  </si>
  <si>
    <t xml:space="preserve">MR-A/B/D</t>
  </si>
  <si>
    <t xml:space="preserve">High</t>
  </si>
  <si>
    <t xml:space="preserve">Cover letter drafted</t>
  </si>
  <si>
    <t xml:space="preserve">R1 #1</t>
  </si>
  <si>
    <t xml:space="preserve">R1</t>
  </si>
  <si>
    <t xml:space="preserve">Minor</t>
  </si>
  <si>
    <t xml:space="preserve">Autoencoder naming: relabel or rename</t>
  </si>
  <si>
    <t xml:space="preserve">Text</t>
  </si>
  <si>
    <t xml:space="preserve">MR-A</t>
  </si>
  <si>
    <t xml:space="preserve">Adopting R1's relabel option; keep DecVAE. Do NOT use the PCA/ICA precedent argument</t>
  </si>
  <si>
    <t xml:space="preserve">R1 #2</t>
  </si>
  <si>
    <t xml:space="preserve">Discuss compactness and deployment trade-off</t>
  </si>
  <si>
    <t xml:space="preserve">Medium</t>
  </si>
  <si>
    <t xml:space="preserve">Quantify dimensionality vs VAE baselines</t>
  </si>
  <si>
    <t xml:space="preserve">R1 #3</t>
  </si>
  <si>
    <t xml:space="preserve">Intuition for adversarial stabilisation in main text</t>
  </si>
  <si>
    <t xml:space="preserve">MR-B</t>
  </si>
  <si>
    <t xml:space="preserve">Consider adding KL collapse curves</t>
  </si>
  <si>
    <t xml:space="preserve">R1 #4</t>
  </si>
  <si>
    <t xml:space="preserve">Notation mapping table, main vs supplement</t>
  </si>
  <si>
    <t xml:space="preserve">Z-tilde / z_c-tilde vs h_i / Z^k, and h = w^-1(z)</t>
  </si>
  <si>
    <t xml:space="preserve">R1 #5</t>
  </si>
  <si>
    <t xml:space="preserve">Major</t>
  </si>
  <si>
    <t xml:space="preserve">Sequence-based or contrastive baselines</t>
  </si>
  <si>
    <t xml:space="preserve">Experiment</t>
  </si>
  <si>
    <t xml:space="preserve">MR-D</t>
  </si>
  <si>
    <t xml:space="preserve">Covered by TCL, SFA, SlowVAE, FHVAE</t>
  </si>
  <si>
    <t xml:space="preserve">R1 #6</t>
  </si>
  <si>
    <t xml:space="preserve">Beta sensitivity vs orthogonality and accuracy</t>
  </si>
  <si>
    <t xml:space="preserve">Analysis</t>
  </si>
  <si>
    <t xml:space="preserve">Clarify what he means by orthogonality constraint</t>
  </si>
  <si>
    <t xml:space="preserve">R2</t>
  </si>
  <si>
    <t xml:space="preserve">Proofread; expand figure captions</t>
  </si>
  <si>
    <t xml:space="preserve">Low</t>
  </si>
  <si>
    <t xml:space="preserve">Figs 1, 2, 6 most likely</t>
  </si>
  <si>
    <t xml:space="preserve">R3 #1</t>
  </si>
  <si>
    <t xml:space="preserve">R3</t>
  </si>
  <si>
    <t xml:space="preserve">TCL and CoST in at least one task</t>
  </si>
  <si>
    <t xml:space="preserve">Running on two datasets, not one</t>
  </si>
  <si>
    <t xml:space="preserve">R3 #2</t>
  </si>
  <si>
    <t xml:space="preserve">FD fixed frequency boundaries and generalisability</t>
  </si>
  <si>
    <t xml:space="preserve">MR-E</t>
  </si>
  <si>
    <t xml:space="preserve">Position: boundaries are a per-signal-class hyperparameter</t>
  </si>
  <si>
    <t xml:space="preserve">R3 #3</t>
  </si>
  <si>
    <t xml:space="preserve">Unresolved citation, line 499</t>
  </si>
  <si>
    <t xml:space="preserve">Resolves correctly in current draft; reviewer saw an earlier compile</t>
  </si>
  <si>
    <t xml:space="preserve">R3 #4</t>
  </si>
  <si>
    <t xml:space="preserve">Missing space, line 508</t>
  </si>
  <si>
    <t xml:space="preserve">Also line 736 ('Alg. 1and'); full sweep pending</t>
  </si>
  <si>
    <t xml:space="preserve">R4 #1</t>
  </si>
  <si>
    <t xml:space="preserve">R4</t>
  </si>
  <si>
    <t xml:space="preserve">Major/Minor</t>
  </si>
  <si>
    <t xml:space="preserve">Decomposition is an inductive bias, not a guarantee</t>
  </si>
  <si>
    <t xml:space="preserve">Aligns with our own view; state when it helps</t>
  </si>
  <si>
    <t xml:space="preserve">R4 #2</t>
  </si>
  <si>
    <t xml:space="preserve">Number of components under-justified</t>
  </si>
  <si>
    <t xml:space="preserve">Sensitivity analysis rather than a selection rule</t>
  </si>
  <si>
    <t xml:space="preserve">R4 #3</t>
  </si>
  <si>
    <t xml:space="preserve">Subspace-wise evidence for interpretability</t>
  </si>
  <si>
    <t xml:space="preserve">Selective prediction, leave-one-subspace-out, swapping</t>
  </si>
  <si>
    <t xml:space="preserve">R4 #4</t>
  </si>
  <si>
    <t xml:space="preserve">Be precise about what orthogonality means</t>
  </si>
  <si>
    <t xml:space="preserve">It is distributional separation; say so</t>
  </si>
  <si>
    <t xml:space="preserve">R4 #5</t>
  </si>
  <si>
    <t xml:space="preserve">Strict lower bound or DELBO-inspired objective</t>
  </si>
  <si>
    <t xml:space="preserve">Conceding: no bound is possible, structural reason</t>
  </si>
  <si>
    <t xml:space="preserve">R4 #6</t>
  </si>
  <si>
    <t xml:space="preserve">Malformed algorithm reference, page 20</t>
  </si>
  <si>
    <t xml:space="preserve">Resolves in current draft; sweep still needed</t>
  </si>
  <si>
    <t xml:space="preserve">R5 #1</t>
  </si>
  <si>
    <t xml:space="preserve">R5</t>
  </si>
  <si>
    <t xml:space="preserve">Encoder-only model described as a VAE</t>
  </si>
  <si>
    <t xml:space="preserve">Same as R1 #1</t>
  </si>
  <si>
    <t xml:space="preserve">R5 #2</t>
  </si>
  <si>
    <t xml:space="preserve">Stronger contemporary baselines</t>
  </si>
  <si>
    <t xml:space="preserve">The binding constraint on the whole baseline plan</t>
  </si>
  <si>
    <t xml:space="preserve">R5 #3</t>
  </si>
  <si>
    <t xml:space="preserve">Decomposition claimed in generative process, acts as front-end</t>
  </si>
  <si>
    <t xml:space="preserve">MR-C</t>
  </si>
  <si>
    <t xml:space="preserve">State the generative claim and the implementation separately</t>
  </si>
  <si>
    <t xml:space="preserve">R5 #4</t>
  </si>
  <si>
    <t xml:space="preserve">Minor/Major</t>
  </si>
  <si>
    <t xml:space="preserve">All real-world experiments are speech</t>
  </si>
  <si>
    <t xml:space="preserve">Decision</t>
  </si>
  <si>
    <t xml:space="preserve">See decision D1</t>
  </si>
  <si>
    <t xml:space="preserve">R5 #5</t>
  </si>
  <si>
    <t xml:space="preserve">Define or remove 'chromagram-guided dynamics'</t>
  </si>
  <si>
    <t xml:space="preserve">Single occurrence, main line 92. Delete</t>
  </si>
  <si>
    <t xml:space="preserve">R5 #6</t>
  </si>
  <si>
    <t xml:space="preserve">SimVowels favours the decomposition prior</t>
  </si>
  <si>
    <t xml:space="preserve">New synthetic data with non-frequency, mixed, correlated factors</t>
  </si>
  <si>
    <t xml:space="preserve">R5 #7</t>
  </si>
  <si>
    <t xml:space="preserve">Limitations of disentanglement metrics</t>
  </si>
  <si>
    <t xml:space="preserve">Read as: is the method ranking stable under noise and imbalance</t>
  </si>
  <si>
    <t xml:space="preserve">R5 #8</t>
  </si>
  <si>
    <t xml:space="preserve">Automatic or misspecified selection of C</t>
  </si>
  <si>
    <t xml:space="preserve">Overlaps R4 #2</t>
  </si>
  <si>
    <t xml:space="preserve">R5 #9</t>
  </si>
  <si>
    <t xml:space="preserve">VOC-ALS confounds; subject-independent controls</t>
  </si>
  <si>
    <t xml:space="preserve">Where VOC-ALS effort should go, not baselines</t>
  </si>
  <si>
    <t xml:space="preserve">R5 #10</t>
  </si>
  <si>
    <t xml:space="preserve">IEMOCAP leave-session/speaker-out; class-wise results</t>
  </si>
  <si>
    <t xml:space="preserve">Session and speaker are confounded by design; say so</t>
  </si>
  <si>
    <t xml:space="preserve">R5 #11</t>
  </si>
  <si>
    <t xml:space="preserve">Quantify latent alignment; stability across seeds and folds</t>
  </si>
  <si>
    <t xml:space="preserve">Existing 5-fold x 5-seed protocol supports this</t>
  </si>
  <si>
    <t xml:space="preserve">R5 #12</t>
  </si>
  <si>
    <t xml:space="preserve">Non-variational ablation of same architecture and capacity</t>
  </si>
  <si>
    <t xml:space="preserve">Signpost</t>
  </si>
  <si>
    <t xml:space="preserve">DecAE (beta = 0) already reported; give table and figure numbers</t>
  </si>
  <si>
    <t xml:space="preserve">R5 #13</t>
  </si>
  <si>
    <t xml:space="preserve">Eqs. (4b) and (5) underdeveloped</t>
  </si>
  <si>
    <t xml:space="preserve">Overlaps R6 #1</t>
  </si>
  <si>
    <t xml:space="preserve">R5 #14</t>
  </si>
  <si>
    <t xml:space="preserve">Prove the bound or rename the objective</t>
  </si>
  <si>
    <t xml:space="preserve">Renaming; proof is not possible</t>
  </si>
  <si>
    <t xml:space="preserve">R5 #15</t>
  </si>
  <si>
    <t xml:space="preserve">Three additional citations</t>
  </si>
  <si>
    <t xml:space="preserve">Assess relevance first; see decision D5</t>
  </si>
  <si>
    <t xml:space="preserve">R6 #1</t>
  </si>
  <si>
    <t xml:space="preserve">R6</t>
  </si>
  <si>
    <t xml:space="preserve">Eqs. (4b), (5), (7), (9) and VAE terminology</t>
  </si>
  <si>
    <t xml:space="preserve">MR-A/B/C</t>
  </si>
  <si>
    <t xml:space="preserve">Splits across three master responses</t>
  </si>
  <si>
    <t xml:space="preserve">R6 #2</t>
  </si>
  <si>
    <t xml:space="preserve">Padding and random concatenation in Alg. 1 are ambiguous</t>
  </si>
  <si>
    <t xml:space="preserve">Answer the label-corruption worry specifically</t>
  </si>
  <si>
    <t xml:space="preserve">R6 #3</t>
  </si>
  <si>
    <t xml:space="preserve">Eq. (9) not shown to be a bound; sign conventions</t>
  </si>
  <si>
    <t xml:space="preserve">Correct in every particular; drove the main revision</t>
  </si>
  <si>
    <t xml:space="preserve">Experiments and analyses, in priority order</t>
  </si>
  <si>
    <t xml:space="preserve">Rank</t>
  </si>
  <si>
    <t xml:space="preserve">Item</t>
  </si>
  <si>
    <t xml:space="preserve">Category</t>
  </si>
  <si>
    <t xml:space="preserve">Datasets</t>
  </si>
  <si>
    <t xml:space="preserve">GPU runs</t>
  </si>
  <si>
    <t xml:space="preserve">Closes</t>
  </si>
  <si>
    <t xml:space="preserve">wav2vec2 frozen embeddings (optionally WavLM)</t>
  </si>
  <si>
    <t xml:space="preserve">Baseline</t>
  </si>
  <si>
    <t xml:space="preserve">SimVowels, TIMIT, IEMOCAP</t>
  </si>
  <si>
    <t xml:space="preserve">0 (inference)</t>
  </si>
  <si>
    <t xml:space="preserve">Zero pre-training. Encoder is already Wav2Vec2-based, so this is a same-encoder/different-objective control</t>
  </si>
  <si>
    <t xml:space="preserve">Slow Feature Analysis (SFA)</t>
  </si>
  <si>
    <t xml:space="preserve">0 (CPU)</t>
  </si>
  <si>
    <t xml:space="preserve">sklearn-sfa. Needs ordered contiguous frames. Use context stacking or quadratic expansion. Run at 20 comps and at z_dim</t>
  </si>
  <si>
    <t xml:space="preserve">CoST</t>
  </si>
  <si>
    <t xml:space="preserve">SimVowels, TIMIT</t>
  </si>
  <si>
    <t xml:space="preserve">2</t>
  </si>
  <si>
    <t xml:space="preserve">R3 #1, R5 #2</t>
  </si>
  <si>
    <t xml:space="preserve">Run first of the GPU jobs: most dangerous comparison, want the result early</t>
  </si>
  <si>
    <t xml:space="preserve">TCL</t>
  </si>
  <si>
    <t xml:space="preserve">R1 #5, R3 #1</t>
  </si>
  <si>
    <t xml:space="preserve">Small MLP with segment-index pretext. Best Major-comments-per-GPU-hour on the list</t>
  </si>
  <si>
    <t xml:space="preserve">FHVAE</t>
  </si>
  <si>
    <t xml:space="preserve">R1 #5, R5 #2</t>
  </si>
  <si>
    <t xml:space="preserve">Zero protocol invention; originally evaluated on TIMIT with the same two-timescale structure</t>
  </si>
  <si>
    <t xml:space="preserve">CPC</t>
  </si>
  <si>
    <t xml:space="preserve">TIMIT</t>
  </si>
  <si>
    <t xml:space="preserve">1</t>
  </si>
  <si>
    <t xml:space="preserve">Named by R5 explicitly; cheap. Completes R5's five-family list</t>
  </si>
  <si>
    <t xml:space="preserve">IEMOCAP carry-forward (best 2 of ranks 3-5)</t>
  </si>
  <si>
    <t xml:space="preserve">IEMOCAP</t>
  </si>
  <si>
    <t xml:space="preserve">R4 #1, R5 #6</t>
  </si>
  <si>
    <t xml:space="preserve">Hardest case for the frequency prior, so the most informative win</t>
  </si>
  <si>
    <t xml:space="preserve">TF-C</t>
  </si>
  <si>
    <t xml:space="preserve">Requested by nobody but the sharpest test: one frequency view vs C orthogonal components</t>
  </si>
  <si>
    <t xml:space="preserve">SlowVAE</t>
  </si>
  <si>
    <t xml:space="preserve">SimVowels (TIMIT if budget)</t>
  </si>
  <si>
    <t xml:space="preserve">1-2</t>
  </si>
  <si>
    <t xml:space="preserve">SimVowels first: its identifiability claim needs ground-truth factors</t>
  </si>
  <si>
    <t xml:space="preserve">DSVAE</t>
  </si>
  <si>
    <t xml:space="preserve">Same reviewer slot as FHVAE, more protocol invention</t>
  </si>
  <si>
    <t xml:space="preserve">BTSF</t>
  </si>
  <si>
    <t xml:space="preserve">Same slot as TF-C, less pointed comparison</t>
  </si>
  <si>
    <t xml:space="preserve">New synthetic data: non-frequency, mixed, correlated factors</t>
  </si>
  <si>
    <t xml:space="preserve">Simulation</t>
  </si>
  <si>
    <t xml:space="preserve">New</t>
  </si>
  <si>
    <t xml:space="preserve">TBD</t>
  </si>
  <si>
    <t xml:space="preserve">R5 #6, R4 #1</t>
  </si>
  <si>
    <t xml:space="preserve">Plan jointly with the baseline grid. See decision D3</t>
  </si>
  <si>
    <t xml:space="preserve">C sensitivity including deliberate misspecification</t>
  </si>
  <si>
    <t xml:space="preserve">Ablation</t>
  </si>
  <si>
    <t xml:space="preserve">R4 #2, R5 #8</t>
  </si>
  <si>
    <t xml:space="preserve">Systematic sweep rather than a selection rule</t>
  </si>
  <si>
    <t xml:space="preserve">Beta vs orthogonality and accuracy on common axes</t>
  </si>
  <si>
    <t xml:space="preserve">Existing runs</t>
  </si>
  <si>
    <t xml:space="preserve">0</t>
  </si>
  <si>
    <t xml:space="preserve">Re-plot from existing sweeps; report D_ortho at convergence</t>
  </si>
  <si>
    <t xml:space="preserve">Subspace-wise: selective prediction, leave-one-out, swapping</t>
  </si>
  <si>
    <t xml:space="preserve">TIMIT, IEMOCAP</t>
  </si>
  <si>
    <t xml:space="preserve">Post-hoc on existing latents. Also applicable to CoST and FHVAE subspaces</t>
  </si>
  <si>
    <t xml:space="preserve">VOC-ALS: subject-independent, stratified, permutation tests</t>
  </si>
  <si>
    <t xml:space="preserve">VOC-ALS</t>
  </si>
  <si>
    <t xml:space="preserve">Where VOC-ALS effort belongs</t>
  </si>
  <si>
    <t xml:space="preserve">IEMOCAP class-wise results and LOSO reporting</t>
  </si>
  <si>
    <t xml:space="preserve">Available from existing runs</t>
  </si>
  <si>
    <t xml:space="preserve">Seed and fold stability of factor alignment</t>
  </si>
  <si>
    <t xml:space="preserve">All</t>
  </si>
  <si>
    <t xml:space="preserve">Correlate DCI importance matrices across seeds</t>
  </si>
  <si>
    <t xml:space="preserve">Metric robustness under label noise and factor imbalance</t>
  </si>
  <si>
    <t xml:space="preserve">Existing latents</t>
  </si>
  <si>
    <t xml:space="preserve">No pre-training needed; perturb labels and re-run the metric suite</t>
  </si>
  <si>
    <t xml:space="preserve">Manuscript writing and correction tasks</t>
  </si>
  <si>
    <t xml:space="preserve">Task</t>
  </si>
  <si>
    <t xml:space="preserve">Where</t>
  </si>
  <si>
    <t xml:space="preserve">Linked to</t>
  </si>
  <si>
    <t xml:space="preserve">W1</t>
  </si>
  <si>
    <t xml:space="preserve">Definitional paragraph: latent-level autoencoding; rate term without sampling</t>
  </si>
  <si>
    <t xml:space="preserve">Introduction + Methods</t>
  </si>
  <si>
    <t xml:space="preserve">MR-A, R1 #1, R5 #1</t>
  </si>
  <si>
    <t xml:space="preserve">Draft written, needs placing and final wording</t>
  </si>
  <si>
    <t xml:space="preserve">W2</t>
  </si>
  <si>
    <t xml:space="preserve">Rewrite SI Section 5: retitle, rescope, state what is and is not bounded</t>
  </si>
  <si>
    <t xml:space="preserve">SI Sec. 5</t>
  </si>
  <si>
    <t xml:space="preserve">Keep the derivation as motivation, correctly scoped</t>
  </si>
  <si>
    <t xml:space="preserve">W3</t>
  </si>
  <si>
    <t xml:space="preserve">Unify sign conventions across Eq. (1), Eq. (9), SI Eq. (12), Alg. 1</t>
  </si>
  <si>
    <t xml:space="preserve">Main + SI</t>
  </si>
  <si>
    <t xml:space="preserve">MR-B, R6 #3</t>
  </si>
  <si>
    <t xml:space="preserve">Code minimises L_recon + L_ortho + beta*L_prior</t>
  </si>
  <si>
    <t xml:space="preserve">W4</t>
  </si>
  <si>
    <t xml:space="preserve">Separate symbols: D_recon/D_ortho for measures, L_recon/L_ortho for losses</t>
  </si>
  <si>
    <t xml:space="preserve">This is the real source of the sign confusion</t>
  </si>
  <si>
    <t xml:space="preserve">W5</t>
  </si>
  <si>
    <t xml:space="preserve">Fix SI Alg. 2 line 31: negative CE is -log(JSD), not -log(1-JSD)</t>
  </si>
  <si>
    <t xml:space="preserve">SI Alg. 2</t>
  </si>
  <si>
    <t xml:space="preserve">Code uses BCE with target 1 for negatives</t>
  </si>
  <si>
    <t xml:space="preserve">W6</t>
  </si>
  <si>
    <t xml:space="preserve">Withdraw the FactorVAE analogy</t>
  </si>
  <si>
    <t xml:space="preserve">Main l.431, SI l.112</t>
  </si>
  <si>
    <t xml:space="preserve">FactorVAE subtracts a term it minimises; our case is the mirror image</t>
  </si>
  <si>
    <t xml:space="preserve">W7</t>
  </si>
  <si>
    <t xml:space="preserve">Rename the objective</t>
  </si>
  <si>
    <t xml:space="preserve">Throughout</t>
  </si>
  <si>
    <t xml:space="preserve">See decision D2. 'DELBO-inspired' is dropped either way</t>
  </si>
  <si>
    <t xml:space="preserve">W8</t>
  </si>
  <si>
    <t xml:space="preserve">Equilibrium proposition as the positive theoretical content</t>
  </si>
  <si>
    <t xml:space="preserve">SI Sec. 5 or 7</t>
  </si>
  <si>
    <t xml:space="preserve">Replaces the lost bound; connects to the SVD/PCA argument. Decision D7</t>
  </si>
  <si>
    <t xml:space="preserve">W9</t>
  </si>
  <si>
    <t xml:space="preserve">Restate Eqs. (4b), (5) and (7)</t>
  </si>
  <si>
    <t xml:space="preserve">Methods</t>
  </si>
  <si>
    <t xml:space="preserve">MR-C, R5 #13, R6 #1</t>
  </si>
  <si>
    <t xml:space="preserve">Marginal of a sum vs joint of independents; invalid posterior factorisation</t>
  </si>
  <si>
    <t xml:space="preserve">W10</t>
  </si>
  <si>
    <t xml:space="preserve">Reconcile p(z) pushforward vs the isotropic prior; scope Assumption 1</t>
  </si>
  <si>
    <t xml:space="preserve">Two different objects used interchangeably</t>
  </si>
  <si>
    <t xml:space="preserve">W11</t>
  </si>
  <si>
    <t xml:space="preserve">Notation mapping table, main text vs supplement</t>
  </si>
  <si>
    <t xml:space="preserve">W12</t>
  </si>
  <si>
    <t xml:space="preserve">Remove 'chromagram-guided dynamics'</t>
  </si>
  <si>
    <t xml:space="preserve">Main l.92</t>
  </si>
  <si>
    <t xml:space="preserve">Single occurrence; not in SI or code</t>
  </si>
  <si>
    <t xml:space="preserve">W13</t>
  </si>
  <si>
    <t xml:space="preserve">Fix spacing at lines 508 and 736; full typography sweep</t>
  </si>
  <si>
    <t xml:space="preserve">Main</t>
  </si>
  <si>
    <t xml:space="preserve">W14</t>
  </si>
  <si>
    <t xml:space="preserve">Sweep for unresolved references and formatting artefacts</t>
  </si>
  <si>
    <t xml:space="preserve">R3 #3, R4 #6</t>
  </si>
  <si>
    <t xml:space="preserve">Both already resolve, but state that a sweep was done</t>
  </si>
  <si>
    <t xml:space="preserve">W15</t>
  </si>
  <si>
    <t xml:space="preserve">Compactness and deployment trade-off in the Discussion</t>
  </si>
  <si>
    <t xml:space="preserve">Discussion</t>
  </si>
  <si>
    <t xml:space="preserve">W16</t>
  </si>
  <si>
    <t xml:space="preserve">Two or three sentences on adversarial stabilisation and collapse</t>
  </si>
  <si>
    <t xml:space="preserve">W17</t>
  </si>
  <si>
    <t xml:space="preserve">State that orthogonality here means distributional separation</t>
  </si>
  <si>
    <t xml:space="preserve">Cite MI and GCN results as evidence, not as construction</t>
  </si>
  <si>
    <t xml:space="preserve">W18</t>
  </si>
  <si>
    <t xml:space="preserve">Signpost DecAE (beta = 0) as the non-variational ablation</t>
  </si>
  <si>
    <t xml:space="preserve">Results / SI</t>
  </si>
  <si>
    <t xml:space="preserve">Give the specific table and figure numbers</t>
  </si>
  <si>
    <t xml:space="preserve">W19</t>
  </si>
  <si>
    <t xml:space="preserve">Precise padding and random concatenation procedure</t>
  </si>
  <si>
    <t xml:space="preserve">Alg. 1</t>
  </si>
  <si>
    <t xml:space="preserve">Say whether concatenation is within-speaker and how labels are assigned</t>
  </si>
  <si>
    <t xml:space="preserve">W20</t>
  </si>
  <si>
    <t xml:space="preserve">Assess and place the three suggested citations</t>
  </si>
  <si>
    <t xml:space="preserve">See decision D5</t>
  </si>
  <si>
    <t xml:space="preserve">W21</t>
  </si>
  <si>
    <t xml:space="preserve">Cite and distinguish LaST, Autoformer, FEDformer, SpeechSplit</t>
  </si>
  <si>
    <t xml:space="preserve">Intro / Related work</t>
  </si>
  <si>
    <t xml:space="preserve">Autoformer is not currently cited at all; FEDformer is [38]</t>
  </si>
  <si>
    <t xml:space="preserve">W22</t>
  </si>
  <si>
    <t xml:space="preserve">Move the CPC citation [2] out of the dysarthria sentence</t>
  </si>
  <si>
    <t xml:space="preserve">Main l.29</t>
  </si>
  <si>
    <t xml:space="preserve">Currently cited as support for dysarthric speech recognition</t>
  </si>
  <si>
    <t xml:space="preserve">W23</t>
  </si>
  <si>
    <t xml:space="preserve">Abstract: soften 'extends VAEs'; gloss 'encoder-only'</t>
  </si>
  <si>
    <t xml:space="preserve">Abstract</t>
  </si>
  <si>
    <t xml:space="preserve">'variational prior approximation' is already accurate; light touch only</t>
  </si>
  <si>
    <t xml:space="preserve">W24</t>
  </si>
  <si>
    <t xml:space="preserve">Expand figure captions</t>
  </si>
  <si>
    <t xml:space="preserve">Figs. 1, 2, 6</t>
  </si>
  <si>
    <t xml:space="preserve">W25</t>
  </si>
  <si>
    <t xml:space="preserve">Full proofreading pass</t>
  </si>
  <si>
    <t xml:space="preserve">Whole manuscript</t>
  </si>
  <si>
    <t xml:space="preserve">W26</t>
  </si>
  <si>
    <t xml:space="preserve">Narrow modality claims, or report the new modality</t>
  </si>
  <si>
    <t xml:space="preserve">Abstract + Discussion</t>
  </si>
  <si>
    <t xml:space="preserve">Open decisions (only you can settle these)</t>
  </si>
  <si>
    <t xml:space="preserve">Impact</t>
  </si>
  <si>
    <t xml:space="preserve">Resolution</t>
  </si>
  <si>
    <t xml:space="preserve">D1</t>
  </si>
  <si>
    <t xml:space="preserve">Narrow the claim to speech-like signals, or add a non-speech modality (EEG/ECG)</t>
  </si>
  <si>
    <t xml:space="preserve">R5 #4, W26</t>
  </si>
  <si>
    <t xml:space="preserve">D2</t>
  </si>
  <si>
    <t xml:space="preserve">Final name for the objective: redefine DELBO, or L_dec</t>
  </si>
  <si>
    <t xml:space="preserve">MR-B, W7</t>
  </si>
  <si>
    <t xml:space="preserve">D3</t>
  </si>
  <si>
    <t xml:space="preserve">Run baselines on the new synthetic dataset as well</t>
  </si>
  <si>
    <t xml:space="preserve">R5 #6, MR-E, Exp 12</t>
  </si>
  <si>
    <t xml:space="preserve">D4</t>
  </si>
  <si>
    <t xml:space="preserve">Benchmark SpeechSplit, or cite it only</t>
  </si>
  <si>
    <t xml:space="preserve">D5</t>
  </si>
  <si>
    <t xml:space="preserve">Are R5's three suggested citations genuinely relevant</t>
  </si>
  <si>
    <t xml:space="preserve">R5 #15, W20</t>
  </si>
  <si>
    <t xml:space="preserve">D6</t>
  </si>
  <si>
    <t xml:space="preserve">Presentation of changes: tracked changes, colour, or separate marked-up file</t>
  </si>
  <si>
    <t xml:space="preserve">Submission</t>
  </si>
  <si>
    <t xml:space="preserve">D7</t>
  </si>
  <si>
    <t xml:space="preserve">Include the equilibrium proposition in the supplement</t>
  </si>
  <si>
    <t xml:space="preserve">MR-B, W8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</si>
</sst>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7E6E6"/>
      </patternFill>
    </fill>
    <fill>
      <patternFill patternType="solid">
        <fgColor rgb="FFFFEB9C"/>
        <bgColor rgb="FFFCE4D6"/>
      </patternFill>
    </fill>
    <fill>
      <patternFill patternType="solid">
        <fgColor rgb="FFFFC7CE"/>
        <bgColor rgb="FFFCE4D6"/>
      </patternFill>
    </fill>
    <fill>
      <patternFill patternType="solid">
        <fgColor rgb="FFC6EFCE"/>
        <bgColor rgb="FFDDEBF7"/>
      </patternFill>
    </fill>
    <fill>
      <patternFill patternType="solid">
        <fgColor rgb="FFE7E6E6"/>
        <bgColor rgb="FFEDEDED"/>
      </patternFill>
    </fill>
    <fill>
      <patternFill patternType="solid">
        <fgColor rgb="FFEDEDED"/>
        <bgColor rgb="FFE7E6E6"/>
      </patternFill>
    </fill>
    <fill>
      <patternFill patternType="solid">
        <fgColor rgb="FFFCE4D6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6" min="3" style="0" width="18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5" t="s">
        <v>4</v>
      </c>
      <c r="B7" s="5" t="s">
        <v>5</v>
      </c>
    </row>
    <row r="8" customFormat="false" ht="15" hidden="false" customHeight="false" outlineLevel="0" collapsed="false">
      <c r="A8" s="6" t="s">
        <v>6</v>
      </c>
      <c r="B8" s="6" t="n">
        <f aca="false">COUNTIF(Comments!G:G,"Not started")</f>
        <v>21</v>
      </c>
    </row>
    <row r="9" customFormat="false" ht="15" hidden="false" customHeight="false" outlineLevel="0" collapsed="false">
      <c r="A9" s="7" t="s">
        <v>7</v>
      </c>
      <c r="B9" s="6" t="n">
        <f aca="false">COUNTIF(Comments!G:G,"Planned")</f>
        <v>3</v>
      </c>
    </row>
    <row r="10" customFormat="false" ht="15" hidden="false" customHeight="false" outlineLevel="0" collapsed="false">
      <c r="A10" s="8" t="s">
        <v>8</v>
      </c>
      <c r="B10" s="6" t="n">
        <f aca="false">COUNTIF(Comments!G:G,"In progress")</f>
        <v>9</v>
      </c>
    </row>
    <row r="11" customFormat="false" ht="15" hidden="false" customHeight="false" outlineLevel="0" collapsed="false">
      <c r="A11" s="9" t="s">
        <v>9</v>
      </c>
      <c r="B11" s="6" t="n">
        <f aca="false">COUNTIF(Comments!G:G,"Blocked")</f>
        <v>1</v>
      </c>
    </row>
    <row r="12" customFormat="false" ht="15" hidden="false" customHeight="false" outlineLevel="0" collapsed="false">
      <c r="A12" s="10" t="s">
        <v>10</v>
      </c>
      <c r="B12" s="6" t="n">
        <f aca="false">COUNTIF(Comments!G:G,"Done")</f>
        <v>2</v>
      </c>
    </row>
    <row r="13" customFormat="false" ht="15" hidden="false" customHeight="false" outlineLevel="0" collapsed="false">
      <c r="A13" s="11" t="s">
        <v>11</v>
      </c>
      <c r="B13" s="6" t="n">
        <f aca="false">COUNTIF(Comments!G:G,"Dropped")</f>
        <v>0</v>
      </c>
    </row>
    <row r="14" customFormat="false" ht="15" hidden="false" customHeight="false" outlineLevel="0" collapsed="false">
      <c r="A14" s="12" t="s">
        <v>12</v>
      </c>
      <c r="B14" s="6" t="n">
        <f aca="false">COUNTIF(Comments!G:G,"Optional")</f>
        <v>0</v>
      </c>
    </row>
    <row r="15" customFormat="false" ht="15" hidden="false" customHeight="false" outlineLevel="0" collapsed="false">
      <c r="A15" s="13" t="s">
        <v>13</v>
      </c>
      <c r="B15" s="13" t="n">
        <f aca="false">COUNTA(Comments!A:A)-2</f>
        <v>36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5" t="s">
        <v>4</v>
      </c>
      <c r="B19" s="5" t="s">
        <v>5</v>
      </c>
    </row>
    <row r="20" customFormat="false" ht="15" hidden="false" customHeight="false" outlineLevel="0" collapsed="false">
      <c r="A20" s="6" t="s">
        <v>6</v>
      </c>
      <c r="B20" s="6" t="n">
        <f aca="false">COUNTIF(Experiments!G:G,"Not started")</f>
        <v>8</v>
      </c>
    </row>
    <row r="21" customFormat="false" ht="15" hidden="false" customHeight="false" outlineLevel="0" collapsed="false">
      <c r="A21" s="7" t="s">
        <v>7</v>
      </c>
      <c r="B21" s="6" t="n">
        <f aca="false">COUNTIF(Experiments!G:G,"Planned")</f>
        <v>7</v>
      </c>
    </row>
    <row r="22" customFormat="false" ht="15" hidden="false" customHeight="false" outlineLevel="0" collapsed="false">
      <c r="A22" s="8" t="s">
        <v>8</v>
      </c>
      <c r="B22" s="6" t="n">
        <f aca="false">COUNTIF(Experiments!G:G,"In progress")</f>
        <v>0</v>
      </c>
    </row>
    <row r="23" customFormat="false" ht="15" hidden="false" customHeight="false" outlineLevel="0" collapsed="false">
      <c r="A23" s="9" t="s">
        <v>9</v>
      </c>
      <c r="B23" s="6" t="n">
        <f aca="false">COUNTIF(Experiments!G:G,"Blocked")</f>
        <v>0</v>
      </c>
    </row>
    <row r="24" customFormat="false" ht="15" hidden="false" customHeight="false" outlineLevel="0" collapsed="false">
      <c r="A24" s="10" t="s">
        <v>10</v>
      </c>
      <c r="B24" s="6" t="n">
        <f aca="false">COUNTIF(Experiments!G:G,"Done")</f>
        <v>0</v>
      </c>
    </row>
    <row r="25" customFormat="false" ht="15" hidden="false" customHeight="false" outlineLevel="0" collapsed="false">
      <c r="A25" s="11" t="s">
        <v>11</v>
      </c>
      <c r="B25" s="6" t="n">
        <f aca="false">COUNTIF(Experiments!G:G,"Dropped")</f>
        <v>2</v>
      </c>
    </row>
    <row r="26" customFormat="false" ht="15" hidden="false" customHeight="false" outlineLevel="0" collapsed="false">
      <c r="A26" s="12" t="s">
        <v>12</v>
      </c>
      <c r="B26" s="6" t="n">
        <f aca="false">COUNTIF(Experiments!G:G,"Optional")</f>
        <v>2</v>
      </c>
    </row>
    <row r="27" customFormat="false" ht="15" hidden="false" customHeight="false" outlineLevel="0" collapsed="false">
      <c r="A27" s="13" t="s">
        <v>13</v>
      </c>
      <c r="B27" s="13" t="n">
        <f aca="false">COUNTA(Experiments!A:A)-2</f>
        <v>19</v>
      </c>
    </row>
    <row r="30" customFormat="false" ht="15" hidden="false" customHeight="false" outlineLevel="0" collapsed="false">
      <c r="A30" s="4" t="s">
        <v>15</v>
      </c>
    </row>
    <row r="31" customFormat="false" ht="15" hidden="false" customHeight="false" outlineLevel="0" collapsed="false">
      <c r="A31" s="5" t="s">
        <v>4</v>
      </c>
      <c r="B31" s="5" t="s">
        <v>5</v>
      </c>
    </row>
    <row r="32" customFormat="false" ht="15" hidden="false" customHeight="false" outlineLevel="0" collapsed="false">
      <c r="A32" s="6" t="s">
        <v>6</v>
      </c>
      <c r="B32" s="6" t="n">
        <f aca="false">COUNTIF(Writing!E:E,"Not started")</f>
        <v>22</v>
      </c>
    </row>
    <row r="33" customFormat="false" ht="15" hidden="false" customHeight="false" outlineLevel="0" collapsed="false">
      <c r="A33" s="7" t="s">
        <v>7</v>
      </c>
      <c r="B33" s="6" t="n">
        <f aca="false">COUNTIF(Writing!E:E,"Planned")</f>
        <v>0</v>
      </c>
    </row>
    <row r="34" customFormat="false" ht="15" hidden="false" customHeight="false" outlineLevel="0" collapsed="false">
      <c r="A34" s="8" t="s">
        <v>8</v>
      </c>
      <c r="B34" s="6" t="n">
        <f aca="false">COUNTIF(Writing!E:E,"In progress")</f>
        <v>2</v>
      </c>
    </row>
    <row r="35" customFormat="false" ht="15" hidden="false" customHeight="false" outlineLevel="0" collapsed="false">
      <c r="A35" s="9" t="s">
        <v>9</v>
      </c>
      <c r="B35" s="6" t="n">
        <f aca="false">COUNTIF(Writing!E:E,"Blocked")</f>
        <v>2</v>
      </c>
    </row>
    <row r="36" customFormat="false" ht="15" hidden="false" customHeight="false" outlineLevel="0" collapsed="false">
      <c r="A36" s="10" t="s">
        <v>10</v>
      </c>
      <c r="B36" s="6" t="n">
        <f aca="false">COUNTIF(Writing!E:E,"Done")</f>
        <v>0</v>
      </c>
    </row>
    <row r="37" customFormat="false" ht="15" hidden="false" customHeight="false" outlineLevel="0" collapsed="false">
      <c r="A37" s="11" t="s">
        <v>11</v>
      </c>
      <c r="B37" s="6" t="n">
        <f aca="false">COUNTIF(Writing!E:E,"Dropped")</f>
        <v>0</v>
      </c>
    </row>
    <row r="38" customFormat="false" ht="15" hidden="false" customHeight="false" outlineLevel="0" collapsed="false">
      <c r="A38" s="12" t="s">
        <v>12</v>
      </c>
      <c r="B38" s="6" t="n">
        <f aca="false">COUNTIF(Writing!E:E,"Optional")</f>
        <v>0</v>
      </c>
    </row>
    <row r="39" customFormat="false" ht="15" hidden="false" customHeight="false" outlineLevel="0" collapsed="false">
      <c r="A39" s="13" t="s">
        <v>13</v>
      </c>
      <c r="B39" s="13" t="n">
        <f aca="false">COUNTA(Writing!A:A)-2</f>
        <v>26</v>
      </c>
    </row>
    <row r="42" customFormat="false" ht="15" hidden="false" customHeight="false" outlineLevel="0" collapsed="false">
      <c r="A42" s="4" t="s">
        <v>16</v>
      </c>
    </row>
    <row r="43" customFormat="false" ht="15" hidden="false" customHeight="false" outlineLevel="0" collapsed="false">
      <c r="A43" s="5" t="s">
        <v>4</v>
      </c>
      <c r="B43" s="5" t="s">
        <v>5</v>
      </c>
    </row>
    <row r="44" customFormat="false" ht="15" hidden="false" customHeight="false" outlineLevel="0" collapsed="false">
      <c r="A44" s="6" t="s">
        <v>6</v>
      </c>
      <c r="B44" s="6" t="n">
        <f aca="false">COUNTIF(Decisions!E:E,"Not started")</f>
        <v>0</v>
      </c>
    </row>
    <row r="45" customFormat="false" ht="15" hidden="false" customHeight="false" outlineLevel="0" collapsed="false">
      <c r="A45" s="7" t="s">
        <v>7</v>
      </c>
      <c r="B45" s="6" t="n">
        <f aca="false">COUNTIF(Decisions!E:E,"Planned")</f>
        <v>0</v>
      </c>
    </row>
    <row r="46" customFormat="false" ht="15" hidden="false" customHeight="false" outlineLevel="0" collapsed="false">
      <c r="A46" s="8" t="s">
        <v>8</v>
      </c>
      <c r="B46" s="6" t="n">
        <f aca="false">COUNTIF(Decisions!E:E,"In progress")</f>
        <v>0</v>
      </c>
    </row>
    <row r="47" customFormat="false" ht="15" hidden="false" customHeight="false" outlineLevel="0" collapsed="false">
      <c r="A47" s="9" t="s">
        <v>9</v>
      </c>
      <c r="B47" s="6" t="n">
        <f aca="false">COUNTIF(Decisions!E:E,"Blocked")</f>
        <v>7</v>
      </c>
    </row>
    <row r="48" customFormat="false" ht="15" hidden="false" customHeight="false" outlineLevel="0" collapsed="false">
      <c r="A48" s="10" t="s">
        <v>10</v>
      </c>
      <c r="B48" s="6" t="n">
        <f aca="false">COUNTIF(Decisions!E:E,"Done")</f>
        <v>0</v>
      </c>
    </row>
    <row r="49" customFormat="false" ht="15" hidden="false" customHeight="false" outlineLevel="0" collapsed="false">
      <c r="A49" s="11" t="s">
        <v>11</v>
      </c>
      <c r="B49" s="6" t="n">
        <f aca="false">COUNTIF(Decisions!E:E,"Dropped")</f>
        <v>0</v>
      </c>
    </row>
    <row r="50" customFormat="false" ht="15" hidden="false" customHeight="false" outlineLevel="0" collapsed="false">
      <c r="A50" s="12" t="s">
        <v>12</v>
      </c>
      <c r="B50" s="6" t="n">
        <f aca="false">COUNTIF(Decisions!E:E,"Optional")</f>
        <v>0</v>
      </c>
    </row>
    <row r="51" customFormat="false" ht="15" hidden="false" customHeight="false" outlineLevel="0" collapsed="false">
      <c r="A51" s="13" t="s">
        <v>13</v>
      </c>
      <c r="B51" s="13" t="n">
        <f aca="false">COUNTA(Decisions!A:A)-2</f>
        <v>7</v>
      </c>
    </row>
    <row r="54" customFormat="false" ht="15" hidden="false" customHeight="false" outlineLevel="0" collapsed="false">
      <c r="A54" s="4" t="s">
        <v>17</v>
      </c>
    </row>
    <row r="55" customFormat="false" ht="15" hidden="false" customHeight="true" outlineLevel="0" collapsed="false">
      <c r="A55" s="14" t="s">
        <v>18</v>
      </c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</row>
  </sheetData>
  <mergeCells count="1">
    <mergeCell ref="A55:F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60"/>
  </cols>
  <sheetData>
    <row r="1" customFormat="false" ht="16.15" hidden="false" customHeight="false" outlineLevel="0" collapsed="false">
      <c r="A1" s="15" t="s">
        <v>19</v>
      </c>
    </row>
    <row r="3" customFormat="false" ht="23.85" hidden="false" customHeight="false" outlineLevel="0" collapsed="false">
      <c r="A3" s="16" t="s">
        <v>20</v>
      </c>
      <c r="B3" s="16" t="s">
        <v>21</v>
      </c>
      <c r="C3" s="16" t="s">
        <v>22</v>
      </c>
      <c r="D3" s="16" t="s">
        <v>23</v>
      </c>
      <c r="E3" s="16" t="s">
        <v>24</v>
      </c>
      <c r="F3" s="16" t="s">
        <v>25</v>
      </c>
      <c r="G3" s="16" t="s">
        <v>4</v>
      </c>
      <c r="H3" s="16" t="s">
        <v>26</v>
      </c>
      <c r="I3" s="16" t="s">
        <v>27</v>
      </c>
    </row>
    <row r="4" customFormat="false" ht="23.85" hidden="false" customHeight="false" outlineLevel="0" collapsed="false">
      <c r="A4" s="17" t="s">
        <v>28</v>
      </c>
      <c r="B4" s="18" t="s">
        <v>28</v>
      </c>
      <c r="C4" s="18" t="s">
        <v>29</v>
      </c>
      <c r="D4" s="19" t="s">
        <v>30</v>
      </c>
      <c r="E4" s="18" t="s">
        <v>31</v>
      </c>
      <c r="F4" s="18" t="s">
        <v>32</v>
      </c>
      <c r="G4" s="20" t="s">
        <v>8</v>
      </c>
      <c r="H4" s="21" t="s">
        <v>33</v>
      </c>
      <c r="I4" s="19" t="s">
        <v>34</v>
      </c>
    </row>
    <row r="5" customFormat="false" ht="23.85" hidden="false" customHeight="false" outlineLevel="0" collapsed="false">
      <c r="A5" s="17" t="s">
        <v>35</v>
      </c>
      <c r="B5" s="18" t="s">
        <v>36</v>
      </c>
      <c r="C5" s="18" t="s">
        <v>37</v>
      </c>
      <c r="D5" s="19" t="s">
        <v>38</v>
      </c>
      <c r="E5" s="18" t="s">
        <v>39</v>
      </c>
      <c r="F5" s="18" t="s">
        <v>40</v>
      </c>
      <c r="G5" s="20" t="s">
        <v>8</v>
      </c>
      <c r="H5" s="21" t="s">
        <v>33</v>
      </c>
      <c r="I5" s="19" t="s">
        <v>41</v>
      </c>
    </row>
    <row r="6" customFormat="false" ht="15" hidden="false" customHeight="false" outlineLevel="0" collapsed="false">
      <c r="A6" s="17" t="s">
        <v>42</v>
      </c>
      <c r="B6" s="18" t="s">
        <v>36</v>
      </c>
      <c r="C6" s="18" t="s">
        <v>37</v>
      </c>
      <c r="D6" s="19" t="s">
        <v>43</v>
      </c>
      <c r="E6" s="18" t="s">
        <v>39</v>
      </c>
      <c r="F6" s="18" t="s">
        <v>29</v>
      </c>
      <c r="G6" s="18" t="s">
        <v>6</v>
      </c>
      <c r="H6" s="18" t="s">
        <v>44</v>
      </c>
      <c r="I6" s="19" t="s">
        <v>45</v>
      </c>
    </row>
    <row r="7" customFormat="false" ht="15" hidden="false" customHeight="false" outlineLevel="0" collapsed="false">
      <c r="A7" s="17" t="s">
        <v>46</v>
      </c>
      <c r="B7" s="18" t="s">
        <v>36</v>
      </c>
      <c r="C7" s="18" t="s">
        <v>37</v>
      </c>
      <c r="D7" s="19" t="s">
        <v>47</v>
      </c>
      <c r="E7" s="18" t="s">
        <v>39</v>
      </c>
      <c r="F7" s="18" t="s">
        <v>48</v>
      </c>
      <c r="G7" s="18" t="s">
        <v>6</v>
      </c>
      <c r="H7" s="18" t="s">
        <v>44</v>
      </c>
      <c r="I7" s="19" t="s">
        <v>49</v>
      </c>
    </row>
    <row r="8" customFormat="false" ht="15" hidden="false" customHeight="false" outlineLevel="0" collapsed="false">
      <c r="A8" s="17" t="s">
        <v>50</v>
      </c>
      <c r="B8" s="18" t="s">
        <v>36</v>
      </c>
      <c r="C8" s="18" t="s">
        <v>37</v>
      </c>
      <c r="D8" s="19" t="s">
        <v>51</v>
      </c>
      <c r="E8" s="18" t="s">
        <v>39</v>
      </c>
      <c r="F8" s="18" t="s">
        <v>29</v>
      </c>
      <c r="G8" s="18" t="s">
        <v>6</v>
      </c>
      <c r="H8" s="18" t="s">
        <v>44</v>
      </c>
      <c r="I8" s="19" t="s">
        <v>52</v>
      </c>
    </row>
    <row r="9" customFormat="false" ht="15" hidden="false" customHeight="false" outlineLevel="0" collapsed="false">
      <c r="A9" s="17" t="s">
        <v>53</v>
      </c>
      <c r="B9" s="18" t="s">
        <v>36</v>
      </c>
      <c r="C9" s="18" t="s">
        <v>54</v>
      </c>
      <c r="D9" s="19" t="s">
        <v>55</v>
      </c>
      <c r="E9" s="18" t="s">
        <v>56</v>
      </c>
      <c r="F9" s="18" t="s">
        <v>57</v>
      </c>
      <c r="G9" s="22" t="s">
        <v>7</v>
      </c>
      <c r="H9" s="21" t="s">
        <v>33</v>
      </c>
      <c r="I9" s="19" t="s">
        <v>58</v>
      </c>
    </row>
    <row r="10" customFormat="false" ht="15" hidden="false" customHeight="false" outlineLevel="0" collapsed="false">
      <c r="A10" s="17" t="s">
        <v>59</v>
      </c>
      <c r="B10" s="18" t="s">
        <v>36</v>
      </c>
      <c r="C10" s="18" t="s">
        <v>29</v>
      </c>
      <c r="D10" s="19" t="s">
        <v>60</v>
      </c>
      <c r="E10" s="18" t="s">
        <v>61</v>
      </c>
      <c r="F10" s="18" t="s">
        <v>29</v>
      </c>
      <c r="G10" s="18" t="s">
        <v>6</v>
      </c>
      <c r="H10" s="18" t="s">
        <v>44</v>
      </c>
      <c r="I10" s="19" t="s">
        <v>62</v>
      </c>
    </row>
    <row r="11" customFormat="false" ht="15" hidden="false" customHeight="false" outlineLevel="0" collapsed="false">
      <c r="A11" s="17" t="s">
        <v>63</v>
      </c>
      <c r="B11" s="18" t="s">
        <v>63</v>
      </c>
      <c r="C11" s="18" t="s">
        <v>37</v>
      </c>
      <c r="D11" s="19" t="s">
        <v>64</v>
      </c>
      <c r="E11" s="18" t="s">
        <v>39</v>
      </c>
      <c r="F11" s="18" t="s">
        <v>29</v>
      </c>
      <c r="G11" s="18" t="s">
        <v>6</v>
      </c>
      <c r="H11" s="18" t="s">
        <v>65</v>
      </c>
      <c r="I11" s="19" t="s">
        <v>66</v>
      </c>
    </row>
    <row r="12" customFormat="false" ht="15" hidden="false" customHeight="false" outlineLevel="0" collapsed="false">
      <c r="A12" s="17" t="s">
        <v>67</v>
      </c>
      <c r="B12" s="18" t="s">
        <v>68</v>
      </c>
      <c r="C12" s="18" t="s">
        <v>54</v>
      </c>
      <c r="D12" s="19" t="s">
        <v>69</v>
      </c>
      <c r="E12" s="18" t="s">
        <v>56</v>
      </c>
      <c r="F12" s="18" t="s">
        <v>57</v>
      </c>
      <c r="G12" s="22" t="s">
        <v>7</v>
      </c>
      <c r="H12" s="21" t="s">
        <v>33</v>
      </c>
      <c r="I12" s="19" t="s">
        <v>70</v>
      </c>
    </row>
    <row r="13" customFormat="false" ht="15" hidden="false" customHeight="false" outlineLevel="0" collapsed="false">
      <c r="A13" s="17" t="s">
        <v>71</v>
      </c>
      <c r="B13" s="18" t="s">
        <v>68</v>
      </c>
      <c r="C13" s="18" t="s">
        <v>54</v>
      </c>
      <c r="D13" s="19" t="s">
        <v>72</v>
      </c>
      <c r="E13" s="18" t="s">
        <v>39</v>
      </c>
      <c r="F13" s="18" t="s">
        <v>73</v>
      </c>
      <c r="G13" s="18" t="s">
        <v>6</v>
      </c>
      <c r="H13" s="21" t="s">
        <v>33</v>
      </c>
      <c r="I13" s="19" t="s">
        <v>74</v>
      </c>
    </row>
    <row r="14" customFormat="false" ht="15" hidden="false" customHeight="false" outlineLevel="0" collapsed="false">
      <c r="A14" s="17" t="s">
        <v>75</v>
      </c>
      <c r="B14" s="18" t="s">
        <v>68</v>
      </c>
      <c r="C14" s="18" t="s">
        <v>37</v>
      </c>
      <c r="D14" s="19" t="s">
        <v>76</v>
      </c>
      <c r="E14" s="18" t="s">
        <v>39</v>
      </c>
      <c r="F14" s="18" t="s">
        <v>29</v>
      </c>
      <c r="G14" s="23" t="s">
        <v>10</v>
      </c>
      <c r="H14" s="18" t="s">
        <v>65</v>
      </c>
      <c r="I14" s="19" t="s">
        <v>77</v>
      </c>
    </row>
    <row r="15" customFormat="false" ht="15" hidden="false" customHeight="false" outlineLevel="0" collapsed="false">
      <c r="A15" s="17" t="s">
        <v>78</v>
      </c>
      <c r="B15" s="18" t="s">
        <v>68</v>
      </c>
      <c r="C15" s="18" t="s">
        <v>37</v>
      </c>
      <c r="D15" s="19" t="s">
        <v>79</v>
      </c>
      <c r="E15" s="18" t="s">
        <v>39</v>
      </c>
      <c r="F15" s="18" t="s">
        <v>29</v>
      </c>
      <c r="G15" s="20" t="s">
        <v>8</v>
      </c>
      <c r="H15" s="18" t="s">
        <v>65</v>
      </c>
      <c r="I15" s="19" t="s">
        <v>80</v>
      </c>
    </row>
    <row r="16" customFormat="false" ht="15" hidden="false" customHeight="false" outlineLevel="0" collapsed="false">
      <c r="A16" s="17" t="s">
        <v>81</v>
      </c>
      <c r="B16" s="18" t="s">
        <v>82</v>
      </c>
      <c r="C16" s="18" t="s">
        <v>83</v>
      </c>
      <c r="D16" s="19" t="s">
        <v>84</v>
      </c>
      <c r="E16" s="18" t="s">
        <v>39</v>
      </c>
      <c r="F16" s="18" t="s">
        <v>73</v>
      </c>
      <c r="G16" s="18" t="s">
        <v>6</v>
      </c>
      <c r="H16" s="21" t="s">
        <v>33</v>
      </c>
      <c r="I16" s="19" t="s">
        <v>85</v>
      </c>
    </row>
    <row r="17" customFormat="false" ht="15" hidden="false" customHeight="false" outlineLevel="0" collapsed="false">
      <c r="A17" s="17" t="s">
        <v>86</v>
      </c>
      <c r="B17" s="18" t="s">
        <v>82</v>
      </c>
      <c r="C17" s="18" t="s">
        <v>54</v>
      </c>
      <c r="D17" s="19" t="s">
        <v>87</v>
      </c>
      <c r="E17" s="18" t="s">
        <v>56</v>
      </c>
      <c r="F17" s="18" t="s">
        <v>73</v>
      </c>
      <c r="G17" s="18" t="s">
        <v>6</v>
      </c>
      <c r="H17" s="21" t="s">
        <v>33</v>
      </c>
      <c r="I17" s="19" t="s">
        <v>88</v>
      </c>
    </row>
    <row r="18" customFormat="false" ht="15" hidden="false" customHeight="false" outlineLevel="0" collapsed="false">
      <c r="A18" s="17" t="s">
        <v>89</v>
      </c>
      <c r="B18" s="18" t="s">
        <v>82</v>
      </c>
      <c r="C18" s="18" t="s">
        <v>54</v>
      </c>
      <c r="D18" s="19" t="s">
        <v>90</v>
      </c>
      <c r="E18" s="18" t="s">
        <v>56</v>
      </c>
      <c r="F18" s="18" t="s">
        <v>73</v>
      </c>
      <c r="G18" s="18" t="s">
        <v>6</v>
      </c>
      <c r="H18" s="21" t="s">
        <v>33</v>
      </c>
      <c r="I18" s="19" t="s">
        <v>91</v>
      </c>
    </row>
    <row r="19" customFormat="false" ht="15" hidden="false" customHeight="false" outlineLevel="0" collapsed="false">
      <c r="A19" s="17" t="s">
        <v>92</v>
      </c>
      <c r="B19" s="18" t="s">
        <v>82</v>
      </c>
      <c r="C19" s="18" t="s">
        <v>37</v>
      </c>
      <c r="D19" s="19" t="s">
        <v>93</v>
      </c>
      <c r="E19" s="18" t="s">
        <v>39</v>
      </c>
      <c r="F19" s="18" t="s">
        <v>48</v>
      </c>
      <c r="G19" s="18" t="s">
        <v>6</v>
      </c>
      <c r="H19" s="18" t="s">
        <v>44</v>
      </c>
      <c r="I19" s="19" t="s">
        <v>94</v>
      </c>
    </row>
    <row r="20" customFormat="false" ht="15" hidden="false" customHeight="false" outlineLevel="0" collapsed="false">
      <c r="A20" s="17" t="s">
        <v>95</v>
      </c>
      <c r="B20" s="18" t="s">
        <v>82</v>
      </c>
      <c r="C20" s="18" t="s">
        <v>54</v>
      </c>
      <c r="D20" s="19" t="s">
        <v>96</v>
      </c>
      <c r="E20" s="18" t="s">
        <v>39</v>
      </c>
      <c r="F20" s="18" t="s">
        <v>48</v>
      </c>
      <c r="G20" s="20" t="s">
        <v>8</v>
      </c>
      <c r="H20" s="21" t="s">
        <v>33</v>
      </c>
      <c r="I20" s="19" t="s">
        <v>97</v>
      </c>
    </row>
    <row r="21" customFormat="false" ht="15" hidden="false" customHeight="false" outlineLevel="0" collapsed="false">
      <c r="A21" s="17" t="s">
        <v>98</v>
      </c>
      <c r="B21" s="18" t="s">
        <v>82</v>
      </c>
      <c r="C21" s="18" t="s">
        <v>37</v>
      </c>
      <c r="D21" s="19" t="s">
        <v>99</v>
      </c>
      <c r="E21" s="18" t="s">
        <v>39</v>
      </c>
      <c r="F21" s="18" t="s">
        <v>29</v>
      </c>
      <c r="G21" s="23" t="s">
        <v>10</v>
      </c>
      <c r="H21" s="18" t="s">
        <v>65</v>
      </c>
      <c r="I21" s="19" t="s">
        <v>100</v>
      </c>
    </row>
    <row r="22" customFormat="false" ht="15" hidden="false" customHeight="false" outlineLevel="0" collapsed="false">
      <c r="A22" s="17" t="s">
        <v>101</v>
      </c>
      <c r="B22" s="18" t="s">
        <v>102</v>
      </c>
      <c r="C22" s="18" t="s">
        <v>37</v>
      </c>
      <c r="D22" s="19" t="s">
        <v>103</v>
      </c>
      <c r="E22" s="18" t="s">
        <v>39</v>
      </c>
      <c r="F22" s="18" t="s">
        <v>40</v>
      </c>
      <c r="G22" s="20" t="s">
        <v>8</v>
      </c>
      <c r="H22" s="21" t="s">
        <v>33</v>
      </c>
      <c r="I22" s="19" t="s">
        <v>104</v>
      </c>
    </row>
    <row r="23" customFormat="false" ht="15" hidden="false" customHeight="false" outlineLevel="0" collapsed="false">
      <c r="A23" s="17" t="s">
        <v>105</v>
      </c>
      <c r="B23" s="18" t="s">
        <v>102</v>
      </c>
      <c r="C23" s="18" t="s">
        <v>54</v>
      </c>
      <c r="D23" s="19" t="s">
        <v>106</v>
      </c>
      <c r="E23" s="18" t="s">
        <v>56</v>
      </c>
      <c r="F23" s="18" t="s">
        <v>57</v>
      </c>
      <c r="G23" s="22" t="s">
        <v>7</v>
      </c>
      <c r="H23" s="21" t="s">
        <v>33</v>
      </c>
      <c r="I23" s="19" t="s">
        <v>107</v>
      </c>
    </row>
    <row r="24" customFormat="false" ht="23.85" hidden="false" customHeight="false" outlineLevel="0" collapsed="false">
      <c r="A24" s="17" t="s">
        <v>108</v>
      </c>
      <c r="B24" s="18" t="s">
        <v>102</v>
      </c>
      <c r="C24" s="18" t="s">
        <v>37</v>
      </c>
      <c r="D24" s="19" t="s">
        <v>109</v>
      </c>
      <c r="E24" s="18" t="s">
        <v>39</v>
      </c>
      <c r="F24" s="18" t="s">
        <v>110</v>
      </c>
      <c r="G24" s="18" t="s">
        <v>6</v>
      </c>
      <c r="H24" s="18" t="s">
        <v>44</v>
      </c>
      <c r="I24" s="19" t="s">
        <v>111</v>
      </c>
    </row>
    <row r="25" customFormat="false" ht="15" hidden="false" customHeight="false" outlineLevel="0" collapsed="false">
      <c r="A25" s="17" t="s">
        <v>112</v>
      </c>
      <c r="B25" s="18" t="s">
        <v>102</v>
      </c>
      <c r="C25" s="18" t="s">
        <v>113</v>
      </c>
      <c r="D25" s="19" t="s">
        <v>114</v>
      </c>
      <c r="E25" s="18" t="s">
        <v>115</v>
      </c>
      <c r="F25" s="18" t="s">
        <v>29</v>
      </c>
      <c r="G25" s="24" t="s">
        <v>9</v>
      </c>
      <c r="H25" s="21" t="s">
        <v>33</v>
      </c>
      <c r="I25" s="19" t="s">
        <v>116</v>
      </c>
    </row>
    <row r="26" customFormat="false" ht="15" hidden="false" customHeight="false" outlineLevel="0" collapsed="false">
      <c r="A26" s="17" t="s">
        <v>117</v>
      </c>
      <c r="B26" s="18" t="s">
        <v>102</v>
      </c>
      <c r="C26" s="18" t="s">
        <v>37</v>
      </c>
      <c r="D26" s="19" t="s">
        <v>118</v>
      </c>
      <c r="E26" s="18" t="s">
        <v>39</v>
      </c>
      <c r="F26" s="18" t="s">
        <v>29</v>
      </c>
      <c r="G26" s="18" t="s">
        <v>6</v>
      </c>
      <c r="H26" s="18" t="s">
        <v>65</v>
      </c>
      <c r="I26" s="19" t="s">
        <v>119</v>
      </c>
    </row>
    <row r="27" customFormat="false" ht="15" hidden="false" customHeight="false" outlineLevel="0" collapsed="false">
      <c r="A27" s="17" t="s">
        <v>120</v>
      </c>
      <c r="B27" s="18" t="s">
        <v>102</v>
      </c>
      <c r="C27" s="18" t="s">
        <v>54</v>
      </c>
      <c r="D27" s="19" t="s">
        <v>121</v>
      </c>
      <c r="E27" s="18" t="s">
        <v>56</v>
      </c>
      <c r="F27" s="18" t="s">
        <v>73</v>
      </c>
      <c r="G27" s="18" t="s">
        <v>6</v>
      </c>
      <c r="H27" s="21" t="s">
        <v>33</v>
      </c>
      <c r="I27" s="19" t="s">
        <v>122</v>
      </c>
    </row>
    <row r="28" customFormat="false" ht="15" hidden="false" customHeight="false" outlineLevel="0" collapsed="false">
      <c r="A28" s="17" t="s">
        <v>123</v>
      </c>
      <c r="B28" s="18" t="s">
        <v>102</v>
      </c>
      <c r="C28" s="18" t="s">
        <v>54</v>
      </c>
      <c r="D28" s="19" t="s">
        <v>124</v>
      </c>
      <c r="E28" s="18" t="s">
        <v>61</v>
      </c>
      <c r="F28" s="18" t="s">
        <v>29</v>
      </c>
      <c r="G28" s="18" t="s">
        <v>6</v>
      </c>
      <c r="H28" s="18" t="s">
        <v>44</v>
      </c>
      <c r="I28" s="19" t="s">
        <v>125</v>
      </c>
    </row>
    <row r="29" customFormat="false" ht="15" hidden="false" customHeight="false" outlineLevel="0" collapsed="false">
      <c r="A29" s="17" t="s">
        <v>126</v>
      </c>
      <c r="B29" s="18" t="s">
        <v>102</v>
      </c>
      <c r="C29" s="18" t="s">
        <v>54</v>
      </c>
      <c r="D29" s="19" t="s">
        <v>127</v>
      </c>
      <c r="E29" s="18" t="s">
        <v>56</v>
      </c>
      <c r="F29" s="18" t="s">
        <v>73</v>
      </c>
      <c r="G29" s="18" t="s">
        <v>6</v>
      </c>
      <c r="H29" s="21" t="s">
        <v>33</v>
      </c>
      <c r="I29" s="19" t="s">
        <v>128</v>
      </c>
    </row>
    <row r="30" customFormat="false" ht="15" hidden="false" customHeight="false" outlineLevel="0" collapsed="false">
      <c r="A30" s="17" t="s">
        <v>129</v>
      </c>
      <c r="B30" s="18" t="s">
        <v>102</v>
      </c>
      <c r="C30" s="18" t="s">
        <v>54</v>
      </c>
      <c r="D30" s="19" t="s">
        <v>130</v>
      </c>
      <c r="E30" s="18" t="s">
        <v>61</v>
      </c>
      <c r="F30" s="18" t="s">
        <v>29</v>
      </c>
      <c r="G30" s="18" t="s">
        <v>6</v>
      </c>
      <c r="H30" s="21" t="s">
        <v>33</v>
      </c>
      <c r="I30" s="19" t="s">
        <v>131</v>
      </c>
    </row>
    <row r="31" customFormat="false" ht="15" hidden="false" customHeight="false" outlineLevel="0" collapsed="false">
      <c r="A31" s="17" t="s">
        <v>132</v>
      </c>
      <c r="B31" s="18" t="s">
        <v>102</v>
      </c>
      <c r="C31" s="18" t="s">
        <v>54</v>
      </c>
      <c r="D31" s="19" t="s">
        <v>133</v>
      </c>
      <c r="E31" s="18" t="s">
        <v>61</v>
      </c>
      <c r="F31" s="18" t="s">
        <v>29</v>
      </c>
      <c r="G31" s="18" t="s">
        <v>6</v>
      </c>
      <c r="H31" s="18" t="s">
        <v>44</v>
      </c>
      <c r="I31" s="19" t="s">
        <v>134</v>
      </c>
    </row>
    <row r="32" customFormat="false" ht="23.85" hidden="false" customHeight="false" outlineLevel="0" collapsed="false">
      <c r="A32" s="17" t="s">
        <v>135</v>
      </c>
      <c r="B32" s="18" t="s">
        <v>102</v>
      </c>
      <c r="C32" s="18" t="s">
        <v>54</v>
      </c>
      <c r="D32" s="19" t="s">
        <v>136</v>
      </c>
      <c r="E32" s="18" t="s">
        <v>61</v>
      </c>
      <c r="F32" s="18" t="s">
        <v>29</v>
      </c>
      <c r="G32" s="18" t="s">
        <v>6</v>
      </c>
      <c r="H32" s="18" t="s">
        <v>44</v>
      </c>
      <c r="I32" s="19" t="s">
        <v>137</v>
      </c>
    </row>
    <row r="33" customFormat="false" ht="23.85" hidden="false" customHeight="false" outlineLevel="0" collapsed="false">
      <c r="A33" s="17" t="s">
        <v>138</v>
      </c>
      <c r="B33" s="18" t="s">
        <v>102</v>
      </c>
      <c r="C33" s="18" t="s">
        <v>37</v>
      </c>
      <c r="D33" s="19" t="s">
        <v>139</v>
      </c>
      <c r="E33" s="18" t="s">
        <v>140</v>
      </c>
      <c r="F33" s="18" t="s">
        <v>29</v>
      </c>
      <c r="G33" s="20" t="s">
        <v>8</v>
      </c>
      <c r="H33" s="18" t="s">
        <v>65</v>
      </c>
      <c r="I33" s="19" t="s">
        <v>141</v>
      </c>
    </row>
    <row r="34" customFormat="false" ht="15" hidden="false" customHeight="false" outlineLevel="0" collapsed="false">
      <c r="A34" s="17" t="s">
        <v>142</v>
      </c>
      <c r="B34" s="18" t="s">
        <v>102</v>
      </c>
      <c r="C34" s="18" t="s">
        <v>54</v>
      </c>
      <c r="D34" s="19" t="s">
        <v>143</v>
      </c>
      <c r="E34" s="18" t="s">
        <v>39</v>
      </c>
      <c r="F34" s="18" t="s">
        <v>110</v>
      </c>
      <c r="G34" s="18" t="s">
        <v>6</v>
      </c>
      <c r="H34" s="21" t="s">
        <v>33</v>
      </c>
      <c r="I34" s="19" t="s">
        <v>144</v>
      </c>
    </row>
    <row r="35" customFormat="false" ht="15" hidden="false" customHeight="false" outlineLevel="0" collapsed="false">
      <c r="A35" s="17" t="s">
        <v>145</v>
      </c>
      <c r="B35" s="18" t="s">
        <v>102</v>
      </c>
      <c r="C35" s="18" t="s">
        <v>37</v>
      </c>
      <c r="D35" s="19" t="s">
        <v>146</v>
      </c>
      <c r="E35" s="18" t="s">
        <v>39</v>
      </c>
      <c r="F35" s="18" t="s">
        <v>48</v>
      </c>
      <c r="G35" s="20" t="s">
        <v>8</v>
      </c>
      <c r="H35" s="21" t="s">
        <v>33</v>
      </c>
      <c r="I35" s="19" t="s">
        <v>147</v>
      </c>
    </row>
    <row r="36" customFormat="false" ht="15" hidden="false" customHeight="false" outlineLevel="0" collapsed="false">
      <c r="A36" s="17" t="s">
        <v>148</v>
      </c>
      <c r="B36" s="18" t="s">
        <v>102</v>
      </c>
      <c r="C36" s="18" t="s">
        <v>37</v>
      </c>
      <c r="D36" s="19" t="s">
        <v>149</v>
      </c>
      <c r="E36" s="18" t="s">
        <v>39</v>
      </c>
      <c r="F36" s="18" t="s">
        <v>29</v>
      </c>
      <c r="G36" s="18" t="s">
        <v>6</v>
      </c>
      <c r="H36" s="18" t="s">
        <v>65</v>
      </c>
      <c r="I36" s="19" t="s">
        <v>150</v>
      </c>
    </row>
    <row r="37" customFormat="false" ht="15" hidden="false" customHeight="false" outlineLevel="0" collapsed="false">
      <c r="A37" s="17" t="s">
        <v>151</v>
      </c>
      <c r="B37" s="18" t="s">
        <v>152</v>
      </c>
      <c r="C37" s="18" t="s">
        <v>37</v>
      </c>
      <c r="D37" s="19" t="s">
        <v>153</v>
      </c>
      <c r="E37" s="18" t="s">
        <v>39</v>
      </c>
      <c r="F37" s="18" t="s">
        <v>154</v>
      </c>
      <c r="G37" s="20" t="s">
        <v>8</v>
      </c>
      <c r="H37" s="21" t="s">
        <v>33</v>
      </c>
      <c r="I37" s="19" t="s">
        <v>155</v>
      </c>
    </row>
    <row r="38" customFormat="false" ht="23.85" hidden="false" customHeight="false" outlineLevel="0" collapsed="false">
      <c r="A38" s="17" t="s">
        <v>156</v>
      </c>
      <c r="B38" s="18" t="s">
        <v>152</v>
      </c>
      <c r="C38" s="18" t="s">
        <v>37</v>
      </c>
      <c r="D38" s="19" t="s">
        <v>157</v>
      </c>
      <c r="E38" s="18" t="s">
        <v>39</v>
      </c>
      <c r="F38" s="18" t="s">
        <v>29</v>
      </c>
      <c r="G38" s="18" t="s">
        <v>6</v>
      </c>
      <c r="H38" s="18" t="s">
        <v>44</v>
      </c>
      <c r="I38" s="19" t="s">
        <v>158</v>
      </c>
    </row>
    <row r="39" customFormat="false" ht="15" hidden="false" customHeight="false" outlineLevel="0" collapsed="false">
      <c r="A39" s="17" t="s">
        <v>159</v>
      </c>
      <c r="B39" s="18" t="s">
        <v>152</v>
      </c>
      <c r="C39" s="18" t="s">
        <v>83</v>
      </c>
      <c r="D39" s="19" t="s">
        <v>160</v>
      </c>
      <c r="E39" s="18" t="s">
        <v>39</v>
      </c>
      <c r="F39" s="18" t="s">
        <v>48</v>
      </c>
      <c r="G39" s="20" t="s">
        <v>8</v>
      </c>
      <c r="H39" s="21" t="s">
        <v>33</v>
      </c>
      <c r="I39" s="19" t="s">
        <v>161</v>
      </c>
    </row>
  </sheetData>
  <autoFilter ref="A3:I39"/>
  <dataValidations count="1">
    <dataValidation allowBlank="true" errorStyle="stop" operator="between" showDropDown="false" showErrorMessage="false" showInputMessage="false" sqref="G4:G79" type="list">
      <formula1>"Not started,Planned,In progress,Blocked,Done,Dropped,Optional"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70"/>
  </cols>
  <sheetData>
    <row r="1" customFormat="false" ht="16.15" hidden="false" customHeight="false" outlineLevel="0" collapsed="false">
      <c r="A1" s="15" t="s">
        <v>162</v>
      </c>
    </row>
    <row r="3" customFormat="false" ht="15" hidden="false" customHeight="false" outlineLevel="0" collapsed="false">
      <c r="A3" s="16" t="s">
        <v>163</v>
      </c>
      <c r="B3" s="16" t="s">
        <v>164</v>
      </c>
      <c r="C3" s="16" t="s">
        <v>165</v>
      </c>
      <c r="D3" s="16" t="s">
        <v>166</v>
      </c>
      <c r="E3" s="16" t="s">
        <v>167</v>
      </c>
      <c r="F3" s="16" t="s">
        <v>168</v>
      </c>
      <c r="G3" s="16" t="s">
        <v>4</v>
      </c>
      <c r="H3" s="16" t="s">
        <v>27</v>
      </c>
    </row>
    <row r="4" customFormat="false" ht="23.85" hidden="false" customHeight="false" outlineLevel="0" collapsed="false">
      <c r="A4" s="17" t="n">
        <v>1</v>
      </c>
      <c r="B4" s="19" t="s">
        <v>169</v>
      </c>
      <c r="C4" s="18" t="s">
        <v>170</v>
      </c>
      <c r="D4" s="19" t="s">
        <v>171</v>
      </c>
      <c r="E4" s="18" t="s">
        <v>172</v>
      </c>
      <c r="F4" s="18" t="s">
        <v>105</v>
      </c>
      <c r="G4" s="22" t="s">
        <v>7</v>
      </c>
      <c r="H4" s="19" t="s">
        <v>173</v>
      </c>
    </row>
    <row r="5" customFormat="false" ht="23.85" hidden="false" customHeight="false" outlineLevel="0" collapsed="false">
      <c r="A5" s="17" t="n">
        <v>2</v>
      </c>
      <c r="B5" s="19" t="s">
        <v>174</v>
      </c>
      <c r="C5" s="18" t="s">
        <v>170</v>
      </c>
      <c r="D5" s="19" t="s">
        <v>171</v>
      </c>
      <c r="E5" s="18" t="s">
        <v>175</v>
      </c>
      <c r="F5" s="18" t="s">
        <v>53</v>
      </c>
      <c r="G5" s="22" t="s">
        <v>7</v>
      </c>
      <c r="H5" s="19" t="s">
        <v>176</v>
      </c>
    </row>
    <row r="6" customFormat="false" ht="15" hidden="false" customHeight="false" outlineLevel="0" collapsed="false">
      <c r="A6" s="17" t="n">
        <v>3</v>
      </c>
      <c r="B6" s="19" t="s">
        <v>177</v>
      </c>
      <c r="C6" s="18" t="s">
        <v>170</v>
      </c>
      <c r="D6" s="19" t="s">
        <v>178</v>
      </c>
      <c r="E6" s="18" t="s">
        <v>179</v>
      </c>
      <c r="F6" s="18" t="s">
        <v>180</v>
      </c>
      <c r="G6" s="22" t="s">
        <v>7</v>
      </c>
      <c r="H6" s="19" t="s">
        <v>181</v>
      </c>
    </row>
    <row r="7" customFormat="false" ht="23.85" hidden="false" customHeight="false" outlineLevel="0" collapsed="false">
      <c r="A7" s="17" t="n">
        <v>4</v>
      </c>
      <c r="B7" s="19" t="s">
        <v>182</v>
      </c>
      <c r="C7" s="18" t="s">
        <v>170</v>
      </c>
      <c r="D7" s="19" t="s">
        <v>178</v>
      </c>
      <c r="E7" s="18" t="s">
        <v>179</v>
      </c>
      <c r="F7" s="18" t="s">
        <v>183</v>
      </c>
      <c r="G7" s="22" t="s">
        <v>7</v>
      </c>
      <c r="H7" s="19" t="s">
        <v>184</v>
      </c>
    </row>
    <row r="8" customFormat="false" ht="23.85" hidden="false" customHeight="false" outlineLevel="0" collapsed="false">
      <c r="A8" s="17" t="n">
        <v>5</v>
      </c>
      <c r="B8" s="19" t="s">
        <v>185</v>
      </c>
      <c r="C8" s="18" t="s">
        <v>170</v>
      </c>
      <c r="D8" s="19" t="s">
        <v>178</v>
      </c>
      <c r="E8" s="18" t="s">
        <v>179</v>
      </c>
      <c r="F8" s="18" t="s">
        <v>186</v>
      </c>
      <c r="G8" s="22" t="s">
        <v>7</v>
      </c>
      <c r="H8" s="19" t="s">
        <v>187</v>
      </c>
    </row>
    <row r="9" customFormat="false" ht="15" hidden="false" customHeight="false" outlineLevel="0" collapsed="false">
      <c r="A9" s="17" t="n">
        <v>6</v>
      </c>
      <c r="B9" s="19" t="s">
        <v>188</v>
      </c>
      <c r="C9" s="18" t="s">
        <v>170</v>
      </c>
      <c r="D9" s="19" t="s">
        <v>189</v>
      </c>
      <c r="E9" s="18" t="s">
        <v>190</v>
      </c>
      <c r="F9" s="18" t="s">
        <v>105</v>
      </c>
      <c r="G9" s="22" t="s">
        <v>7</v>
      </c>
      <c r="H9" s="19" t="s">
        <v>191</v>
      </c>
    </row>
    <row r="10" customFormat="false" ht="15" hidden="false" customHeight="false" outlineLevel="0" collapsed="false">
      <c r="A10" s="17" t="n">
        <v>7</v>
      </c>
      <c r="B10" s="19" t="s">
        <v>192</v>
      </c>
      <c r="C10" s="18" t="s">
        <v>170</v>
      </c>
      <c r="D10" s="19" t="s">
        <v>193</v>
      </c>
      <c r="E10" s="18" t="s">
        <v>179</v>
      </c>
      <c r="F10" s="18" t="s">
        <v>194</v>
      </c>
      <c r="G10" s="22" t="s">
        <v>7</v>
      </c>
      <c r="H10" s="19" t="s">
        <v>195</v>
      </c>
    </row>
    <row r="11" customFormat="false" ht="23.85" hidden="false" customHeight="false" outlineLevel="0" collapsed="false">
      <c r="A11" s="17" t="n">
        <v>8</v>
      </c>
      <c r="B11" s="19" t="s">
        <v>196</v>
      </c>
      <c r="C11" s="18" t="s">
        <v>170</v>
      </c>
      <c r="D11" s="19" t="s">
        <v>178</v>
      </c>
      <c r="E11" s="18" t="s">
        <v>179</v>
      </c>
      <c r="F11" s="18" t="s">
        <v>105</v>
      </c>
      <c r="G11" s="25" t="s">
        <v>12</v>
      </c>
      <c r="H11" s="19" t="s">
        <v>197</v>
      </c>
    </row>
    <row r="12" customFormat="false" ht="15" hidden="false" customHeight="false" outlineLevel="0" collapsed="false">
      <c r="A12" s="17" t="n">
        <v>9</v>
      </c>
      <c r="B12" s="19" t="s">
        <v>198</v>
      </c>
      <c r="C12" s="18" t="s">
        <v>170</v>
      </c>
      <c r="D12" s="19" t="s">
        <v>199</v>
      </c>
      <c r="E12" s="18" t="s">
        <v>200</v>
      </c>
      <c r="F12" s="18" t="s">
        <v>53</v>
      </c>
      <c r="G12" s="25" t="s">
        <v>12</v>
      </c>
      <c r="H12" s="19" t="s">
        <v>201</v>
      </c>
    </row>
    <row r="13" customFormat="false" ht="15" hidden="false" customHeight="false" outlineLevel="0" collapsed="false">
      <c r="A13" s="17" t="n">
        <v>10</v>
      </c>
      <c r="B13" s="19" t="s">
        <v>202</v>
      </c>
      <c r="C13" s="18" t="s">
        <v>170</v>
      </c>
      <c r="D13" s="19" t="s">
        <v>29</v>
      </c>
      <c r="E13" s="18" t="s">
        <v>29</v>
      </c>
      <c r="F13" s="18" t="s">
        <v>105</v>
      </c>
      <c r="G13" s="26" t="s">
        <v>11</v>
      </c>
      <c r="H13" s="19" t="s">
        <v>203</v>
      </c>
    </row>
    <row r="14" customFormat="false" ht="15" hidden="false" customHeight="false" outlineLevel="0" collapsed="false">
      <c r="A14" s="17" t="n">
        <v>11</v>
      </c>
      <c r="B14" s="19" t="s">
        <v>204</v>
      </c>
      <c r="C14" s="18" t="s">
        <v>170</v>
      </c>
      <c r="D14" s="19" t="s">
        <v>29</v>
      </c>
      <c r="E14" s="18" t="s">
        <v>29</v>
      </c>
      <c r="F14" s="18" t="s">
        <v>105</v>
      </c>
      <c r="G14" s="26" t="s">
        <v>11</v>
      </c>
      <c r="H14" s="19" t="s">
        <v>205</v>
      </c>
    </row>
    <row r="15" customFormat="false" ht="23.85" hidden="false" customHeight="false" outlineLevel="0" collapsed="false">
      <c r="A15" s="17" t="n">
        <v>12</v>
      </c>
      <c r="B15" s="19" t="s">
        <v>206</v>
      </c>
      <c r="C15" s="18" t="s">
        <v>207</v>
      </c>
      <c r="D15" s="19" t="s">
        <v>208</v>
      </c>
      <c r="E15" s="18" t="s">
        <v>209</v>
      </c>
      <c r="F15" s="18" t="s">
        <v>210</v>
      </c>
      <c r="G15" s="18" t="s">
        <v>6</v>
      </c>
      <c r="H15" s="19" t="s">
        <v>211</v>
      </c>
    </row>
    <row r="16" customFormat="false" ht="15" hidden="false" customHeight="false" outlineLevel="0" collapsed="false">
      <c r="A16" s="17" t="n">
        <v>13</v>
      </c>
      <c r="B16" s="19" t="s">
        <v>212</v>
      </c>
      <c r="C16" s="18" t="s">
        <v>213</v>
      </c>
      <c r="D16" s="19" t="s">
        <v>178</v>
      </c>
      <c r="E16" s="18" t="s">
        <v>209</v>
      </c>
      <c r="F16" s="18" t="s">
        <v>214</v>
      </c>
      <c r="G16" s="18" t="s">
        <v>6</v>
      </c>
      <c r="H16" s="19" t="s">
        <v>215</v>
      </c>
    </row>
    <row r="17" customFormat="false" ht="15" hidden="false" customHeight="false" outlineLevel="0" collapsed="false">
      <c r="A17" s="17" t="n">
        <v>14</v>
      </c>
      <c r="B17" s="19" t="s">
        <v>216</v>
      </c>
      <c r="C17" s="18" t="s">
        <v>61</v>
      </c>
      <c r="D17" s="19" t="s">
        <v>217</v>
      </c>
      <c r="E17" s="18" t="s">
        <v>218</v>
      </c>
      <c r="F17" s="18" t="s">
        <v>59</v>
      </c>
      <c r="G17" s="18" t="s">
        <v>6</v>
      </c>
      <c r="H17" s="19" t="s">
        <v>219</v>
      </c>
    </row>
    <row r="18" customFormat="false" ht="23.85" hidden="false" customHeight="false" outlineLevel="0" collapsed="false">
      <c r="A18" s="17" t="n">
        <v>15</v>
      </c>
      <c r="B18" s="19" t="s">
        <v>220</v>
      </c>
      <c r="C18" s="18" t="s">
        <v>61</v>
      </c>
      <c r="D18" s="19" t="s">
        <v>221</v>
      </c>
      <c r="E18" s="18" t="s">
        <v>218</v>
      </c>
      <c r="F18" s="18" t="s">
        <v>89</v>
      </c>
      <c r="G18" s="18" t="s">
        <v>6</v>
      </c>
      <c r="H18" s="19" t="s">
        <v>222</v>
      </c>
    </row>
    <row r="19" customFormat="false" ht="23.85" hidden="false" customHeight="false" outlineLevel="0" collapsed="false">
      <c r="A19" s="17" t="n">
        <v>16</v>
      </c>
      <c r="B19" s="19" t="s">
        <v>223</v>
      </c>
      <c r="C19" s="18" t="s">
        <v>61</v>
      </c>
      <c r="D19" s="19" t="s">
        <v>224</v>
      </c>
      <c r="E19" s="18" t="s">
        <v>218</v>
      </c>
      <c r="F19" s="18" t="s">
        <v>129</v>
      </c>
      <c r="G19" s="18" t="s">
        <v>6</v>
      </c>
      <c r="H19" s="19" t="s">
        <v>225</v>
      </c>
    </row>
    <row r="20" customFormat="false" ht="15" hidden="false" customHeight="false" outlineLevel="0" collapsed="false">
      <c r="A20" s="17" t="n">
        <v>17</v>
      </c>
      <c r="B20" s="19" t="s">
        <v>226</v>
      </c>
      <c r="C20" s="18" t="s">
        <v>61</v>
      </c>
      <c r="D20" s="19" t="s">
        <v>193</v>
      </c>
      <c r="E20" s="18" t="s">
        <v>218</v>
      </c>
      <c r="F20" s="18" t="s">
        <v>132</v>
      </c>
      <c r="G20" s="18" t="s">
        <v>6</v>
      </c>
      <c r="H20" s="19" t="s">
        <v>227</v>
      </c>
    </row>
    <row r="21" customFormat="false" ht="15" hidden="false" customHeight="false" outlineLevel="0" collapsed="false">
      <c r="A21" s="17" t="n">
        <v>18</v>
      </c>
      <c r="B21" s="19" t="s">
        <v>228</v>
      </c>
      <c r="C21" s="18" t="s">
        <v>61</v>
      </c>
      <c r="D21" s="19" t="s">
        <v>229</v>
      </c>
      <c r="E21" s="18" t="s">
        <v>218</v>
      </c>
      <c r="F21" s="18" t="s">
        <v>135</v>
      </c>
      <c r="G21" s="18" t="s">
        <v>6</v>
      </c>
      <c r="H21" s="19" t="s">
        <v>230</v>
      </c>
    </row>
    <row r="22" customFormat="false" ht="15" hidden="false" customHeight="false" outlineLevel="0" collapsed="false">
      <c r="A22" s="17" t="n">
        <v>19</v>
      </c>
      <c r="B22" s="19" t="s">
        <v>231</v>
      </c>
      <c r="C22" s="18" t="s">
        <v>61</v>
      </c>
      <c r="D22" s="19" t="s">
        <v>232</v>
      </c>
      <c r="E22" s="18" t="s">
        <v>218</v>
      </c>
      <c r="F22" s="18" t="s">
        <v>123</v>
      </c>
      <c r="G22" s="18" t="s">
        <v>6</v>
      </c>
      <c r="H22" s="19" t="s">
        <v>233</v>
      </c>
    </row>
  </sheetData>
  <autoFilter ref="A3:H22"/>
  <dataValidations count="1">
    <dataValidation allowBlank="true" errorStyle="stop" operator="between" showDropDown="false" showErrorMessage="false" showInputMessage="false" sqref="G4:G62" type="list">
      <formula1>"Not started,Planned,In progress,Blocked,Done,Dropped,Optional"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8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5" t="s">
        <v>234</v>
      </c>
    </row>
    <row r="3" customFormat="false" ht="15" hidden="false" customHeight="false" outlineLevel="0" collapsed="false">
      <c r="A3" s="16" t="s">
        <v>20</v>
      </c>
      <c r="B3" s="16" t="s">
        <v>235</v>
      </c>
      <c r="C3" s="16" t="s">
        <v>236</v>
      </c>
      <c r="D3" s="16" t="s">
        <v>237</v>
      </c>
      <c r="E3" s="16" t="s">
        <v>4</v>
      </c>
      <c r="F3" s="16" t="s">
        <v>27</v>
      </c>
    </row>
    <row r="4" customFormat="false" ht="23.85" hidden="false" customHeight="false" outlineLevel="0" collapsed="false">
      <c r="A4" s="17" t="s">
        <v>238</v>
      </c>
      <c r="B4" s="19" t="s">
        <v>239</v>
      </c>
      <c r="C4" s="19" t="s">
        <v>240</v>
      </c>
      <c r="D4" s="19" t="s">
        <v>241</v>
      </c>
      <c r="E4" s="20" t="s">
        <v>8</v>
      </c>
      <c r="F4" s="19" t="s">
        <v>242</v>
      </c>
    </row>
    <row r="5" customFormat="false" ht="15" hidden="false" customHeight="false" outlineLevel="0" collapsed="false">
      <c r="A5" s="17" t="s">
        <v>243</v>
      </c>
      <c r="B5" s="19" t="s">
        <v>244</v>
      </c>
      <c r="C5" s="19" t="s">
        <v>245</v>
      </c>
      <c r="D5" s="19" t="s">
        <v>48</v>
      </c>
      <c r="E5" s="18" t="s">
        <v>6</v>
      </c>
      <c r="F5" s="19" t="s">
        <v>246</v>
      </c>
    </row>
    <row r="6" customFormat="false" ht="15" hidden="false" customHeight="false" outlineLevel="0" collapsed="false">
      <c r="A6" s="17" t="s">
        <v>247</v>
      </c>
      <c r="B6" s="19" t="s">
        <v>248</v>
      </c>
      <c r="C6" s="19" t="s">
        <v>249</v>
      </c>
      <c r="D6" s="19" t="s">
        <v>250</v>
      </c>
      <c r="E6" s="18" t="s">
        <v>6</v>
      </c>
      <c r="F6" s="19" t="s">
        <v>251</v>
      </c>
    </row>
    <row r="7" customFormat="false" ht="23.85" hidden="false" customHeight="false" outlineLevel="0" collapsed="false">
      <c r="A7" s="17" t="s">
        <v>252</v>
      </c>
      <c r="B7" s="19" t="s">
        <v>253</v>
      </c>
      <c r="C7" s="19" t="s">
        <v>249</v>
      </c>
      <c r="D7" s="19" t="s">
        <v>250</v>
      </c>
      <c r="E7" s="18" t="s">
        <v>6</v>
      </c>
      <c r="F7" s="19" t="s">
        <v>254</v>
      </c>
    </row>
    <row r="8" customFormat="false" ht="15" hidden="false" customHeight="false" outlineLevel="0" collapsed="false">
      <c r="A8" s="17" t="s">
        <v>255</v>
      </c>
      <c r="B8" s="19" t="s">
        <v>256</v>
      </c>
      <c r="C8" s="19" t="s">
        <v>257</v>
      </c>
      <c r="D8" s="19" t="s">
        <v>250</v>
      </c>
      <c r="E8" s="18" t="s">
        <v>6</v>
      </c>
      <c r="F8" s="19" t="s">
        <v>258</v>
      </c>
    </row>
    <row r="9" customFormat="false" ht="15" hidden="false" customHeight="false" outlineLevel="0" collapsed="false">
      <c r="A9" s="17" t="s">
        <v>259</v>
      </c>
      <c r="B9" s="19" t="s">
        <v>260</v>
      </c>
      <c r="C9" s="19" t="s">
        <v>261</v>
      </c>
      <c r="D9" s="19" t="s">
        <v>48</v>
      </c>
      <c r="E9" s="18" t="s">
        <v>6</v>
      </c>
      <c r="F9" s="19" t="s">
        <v>262</v>
      </c>
    </row>
    <row r="10" customFormat="false" ht="15" hidden="false" customHeight="false" outlineLevel="0" collapsed="false">
      <c r="A10" s="17" t="s">
        <v>263</v>
      </c>
      <c r="B10" s="19" t="s">
        <v>264</v>
      </c>
      <c r="C10" s="19" t="s">
        <v>265</v>
      </c>
      <c r="D10" s="19" t="s">
        <v>48</v>
      </c>
      <c r="E10" s="24" t="s">
        <v>9</v>
      </c>
      <c r="F10" s="19" t="s">
        <v>266</v>
      </c>
    </row>
    <row r="11" customFormat="false" ht="15" hidden="false" customHeight="false" outlineLevel="0" collapsed="false">
      <c r="A11" s="17" t="s">
        <v>267</v>
      </c>
      <c r="B11" s="19" t="s">
        <v>268</v>
      </c>
      <c r="C11" s="19" t="s">
        <v>269</v>
      </c>
      <c r="D11" s="19" t="s">
        <v>48</v>
      </c>
      <c r="E11" s="18" t="s">
        <v>6</v>
      </c>
      <c r="F11" s="19" t="s">
        <v>270</v>
      </c>
    </row>
    <row r="12" customFormat="false" ht="15" hidden="false" customHeight="false" outlineLevel="0" collapsed="false">
      <c r="A12" s="17" t="s">
        <v>271</v>
      </c>
      <c r="B12" s="19" t="s">
        <v>272</v>
      </c>
      <c r="C12" s="19" t="s">
        <v>273</v>
      </c>
      <c r="D12" s="19" t="s">
        <v>274</v>
      </c>
      <c r="E12" s="18" t="s">
        <v>6</v>
      </c>
      <c r="F12" s="19" t="s">
        <v>275</v>
      </c>
    </row>
    <row r="13" customFormat="false" ht="15" hidden="false" customHeight="false" outlineLevel="0" collapsed="false">
      <c r="A13" s="17" t="s">
        <v>276</v>
      </c>
      <c r="B13" s="19" t="s">
        <v>277</v>
      </c>
      <c r="C13" s="19" t="s">
        <v>245</v>
      </c>
      <c r="D13" s="19" t="s">
        <v>110</v>
      </c>
      <c r="E13" s="18" t="s">
        <v>6</v>
      </c>
      <c r="F13" s="19" t="s">
        <v>278</v>
      </c>
    </row>
    <row r="14" customFormat="false" ht="15" hidden="false" customHeight="false" outlineLevel="0" collapsed="false">
      <c r="A14" s="17" t="s">
        <v>279</v>
      </c>
      <c r="B14" s="19" t="s">
        <v>280</v>
      </c>
      <c r="C14" s="19" t="s">
        <v>249</v>
      </c>
      <c r="D14" s="19" t="s">
        <v>50</v>
      </c>
      <c r="E14" s="18" t="s">
        <v>6</v>
      </c>
      <c r="F14" s="19"/>
    </row>
    <row r="15" customFormat="false" ht="15" hidden="false" customHeight="false" outlineLevel="0" collapsed="false">
      <c r="A15" s="17" t="s">
        <v>281</v>
      </c>
      <c r="B15" s="19" t="s">
        <v>282</v>
      </c>
      <c r="C15" s="19" t="s">
        <v>283</v>
      </c>
      <c r="D15" s="19" t="s">
        <v>117</v>
      </c>
      <c r="E15" s="18" t="s">
        <v>6</v>
      </c>
      <c r="F15" s="19" t="s">
        <v>284</v>
      </c>
    </row>
    <row r="16" customFormat="false" ht="15" hidden="false" customHeight="false" outlineLevel="0" collapsed="false">
      <c r="A16" s="17" t="s">
        <v>285</v>
      </c>
      <c r="B16" s="19" t="s">
        <v>286</v>
      </c>
      <c r="C16" s="19" t="s">
        <v>287</v>
      </c>
      <c r="D16" s="19" t="s">
        <v>78</v>
      </c>
      <c r="E16" s="20" t="s">
        <v>8</v>
      </c>
      <c r="F16" s="19"/>
    </row>
    <row r="17" customFormat="false" ht="15" hidden="false" customHeight="false" outlineLevel="0" collapsed="false">
      <c r="A17" s="17" t="s">
        <v>288</v>
      </c>
      <c r="B17" s="19" t="s">
        <v>289</v>
      </c>
      <c r="C17" s="19" t="s">
        <v>249</v>
      </c>
      <c r="D17" s="19" t="s">
        <v>290</v>
      </c>
      <c r="E17" s="18" t="s">
        <v>6</v>
      </c>
      <c r="F17" s="19" t="s">
        <v>291</v>
      </c>
    </row>
    <row r="18" customFormat="false" ht="15" hidden="false" customHeight="false" outlineLevel="0" collapsed="false">
      <c r="A18" s="17" t="s">
        <v>292</v>
      </c>
      <c r="B18" s="19" t="s">
        <v>293</v>
      </c>
      <c r="C18" s="19" t="s">
        <v>294</v>
      </c>
      <c r="D18" s="19" t="s">
        <v>42</v>
      </c>
      <c r="E18" s="18" t="s">
        <v>6</v>
      </c>
      <c r="F18" s="19"/>
    </row>
    <row r="19" customFormat="false" ht="15" hidden="false" customHeight="false" outlineLevel="0" collapsed="false">
      <c r="A19" s="17" t="s">
        <v>295</v>
      </c>
      <c r="B19" s="19" t="s">
        <v>296</v>
      </c>
      <c r="C19" s="19" t="s">
        <v>273</v>
      </c>
      <c r="D19" s="19" t="s">
        <v>46</v>
      </c>
      <c r="E19" s="18" t="s">
        <v>6</v>
      </c>
      <c r="F19" s="19"/>
    </row>
    <row r="20" customFormat="false" ht="15" hidden="false" customHeight="false" outlineLevel="0" collapsed="false">
      <c r="A20" s="17" t="s">
        <v>297</v>
      </c>
      <c r="B20" s="19" t="s">
        <v>298</v>
      </c>
      <c r="C20" s="19" t="s">
        <v>273</v>
      </c>
      <c r="D20" s="19" t="s">
        <v>92</v>
      </c>
      <c r="E20" s="18" t="s">
        <v>6</v>
      </c>
      <c r="F20" s="19" t="s">
        <v>299</v>
      </c>
    </row>
    <row r="21" customFormat="false" ht="15" hidden="false" customHeight="false" outlineLevel="0" collapsed="false">
      <c r="A21" s="17" t="s">
        <v>300</v>
      </c>
      <c r="B21" s="19" t="s">
        <v>301</v>
      </c>
      <c r="C21" s="19" t="s">
        <v>302</v>
      </c>
      <c r="D21" s="19" t="s">
        <v>138</v>
      </c>
      <c r="E21" s="18" t="s">
        <v>6</v>
      </c>
      <c r="F21" s="19" t="s">
        <v>303</v>
      </c>
    </row>
    <row r="22" customFormat="false" ht="15" hidden="false" customHeight="false" outlineLevel="0" collapsed="false">
      <c r="A22" s="17" t="s">
        <v>304</v>
      </c>
      <c r="B22" s="19" t="s">
        <v>305</v>
      </c>
      <c r="C22" s="19" t="s">
        <v>306</v>
      </c>
      <c r="D22" s="19" t="s">
        <v>156</v>
      </c>
      <c r="E22" s="18" t="s">
        <v>6</v>
      </c>
      <c r="F22" s="19" t="s">
        <v>307</v>
      </c>
    </row>
    <row r="23" customFormat="false" ht="15" hidden="false" customHeight="false" outlineLevel="0" collapsed="false">
      <c r="A23" s="17" t="s">
        <v>308</v>
      </c>
      <c r="B23" s="19" t="s">
        <v>309</v>
      </c>
      <c r="C23" s="19" t="s">
        <v>294</v>
      </c>
      <c r="D23" s="19" t="s">
        <v>148</v>
      </c>
      <c r="E23" s="18" t="s">
        <v>6</v>
      </c>
      <c r="F23" s="19" t="s">
        <v>310</v>
      </c>
    </row>
    <row r="24" customFormat="false" ht="15" hidden="false" customHeight="false" outlineLevel="0" collapsed="false">
      <c r="A24" s="17" t="s">
        <v>311</v>
      </c>
      <c r="B24" s="19" t="s">
        <v>312</v>
      </c>
      <c r="C24" s="19" t="s">
        <v>313</v>
      </c>
      <c r="D24" s="19" t="s">
        <v>57</v>
      </c>
      <c r="E24" s="18" t="s">
        <v>6</v>
      </c>
      <c r="F24" s="19" t="s">
        <v>314</v>
      </c>
    </row>
    <row r="25" customFormat="false" ht="15" hidden="false" customHeight="false" outlineLevel="0" collapsed="false">
      <c r="A25" s="17" t="s">
        <v>315</v>
      </c>
      <c r="B25" s="19" t="s">
        <v>316</v>
      </c>
      <c r="C25" s="19" t="s">
        <v>317</v>
      </c>
      <c r="D25" s="19" t="s">
        <v>29</v>
      </c>
      <c r="E25" s="18" t="s">
        <v>6</v>
      </c>
      <c r="F25" s="19" t="s">
        <v>318</v>
      </c>
    </row>
    <row r="26" customFormat="false" ht="15" hidden="false" customHeight="false" outlineLevel="0" collapsed="false">
      <c r="A26" s="17" t="s">
        <v>319</v>
      </c>
      <c r="B26" s="19" t="s">
        <v>320</v>
      </c>
      <c r="C26" s="19" t="s">
        <v>321</v>
      </c>
      <c r="D26" s="19" t="s">
        <v>40</v>
      </c>
      <c r="E26" s="18" t="s">
        <v>6</v>
      </c>
      <c r="F26" s="19" t="s">
        <v>322</v>
      </c>
    </row>
    <row r="27" customFormat="false" ht="15" hidden="false" customHeight="false" outlineLevel="0" collapsed="false">
      <c r="A27" s="17" t="s">
        <v>323</v>
      </c>
      <c r="B27" s="19" t="s">
        <v>324</v>
      </c>
      <c r="C27" s="19" t="s">
        <v>325</v>
      </c>
      <c r="D27" s="19" t="s">
        <v>63</v>
      </c>
      <c r="E27" s="18" t="s">
        <v>6</v>
      </c>
      <c r="F27" s="19"/>
    </row>
    <row r="28" customFormat="false" ht="15" hidden="false" customHeight="false" outlineLevel="0" collapsed="false">
      <c r="A28" s="17" t="s">
        <v>326</v>
      </c>
      <c r="B28" s="19" t="s">
        <v>327</v>
      </c>
      <c r="C28" s="19" t="s">
        <v>328</v>
      </c>
      <c r="D28" s="19" t="s">
        <v>63</v>
      </c>
      <c r="E28" s="18" t="s">
        <v>6</v>
      </c>
      <c r="F28" s="19"/>
    </row>
    <row r="29" customFormat="false" ht="15" hidden="false" customHeight="false" outlineLevel="0" collapsed="false">
      <c r="A29" s="17" t="s">
        <v>329</v>
      </c>
      <c r="B29" s="19" t="s">
        <v>330</v>
      </c>
      <c r="C29" s="19" t="s">
        <v>331</v>
      </c>
      <c r="D29" s="19" t="s">
        <v>112</v>
      </c>
      <c r="E29" s="24" t="s">
        <v>9</v>
      </c>
      <c r="F29" s="19" t="s">
        <v>116</v>
      </c>
    </row>
  </sheetData>
  <autoFilter ref="A3:F29"/>
  <dataValidations count="1">
    <dataValidation allowBlank="true" errorStyle="stop" operator="between" showDropDown="false" showErrorMessage="false" showInputMessage="false" sqref="E4:E69" type="list">
      <formula1>"Not started,Planned,In progress,Blocked,Done,Dropped,Optional"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46"/>
  </cols>
  <sheetData>
    <row r="1" customFormat="false" ht="16.15" hidden="false" customHeight="false" outlineLevel="0" collapsed="false">
      <c r="A1" s="15" t="s">
        <v>332</v>
      </c>
    </row>
    <row r="3" customFormat="false" ht="15" hidden="false" customHeight="false" outlineLevel="0" collapsed="false">
      <c r="A3" s="16" t="s">
        <v>20</v>
      </c>
      <c r="B3" s="16" t="s">
        <v>115</v>
      </c>
      <c r="C3" s="16" t="s">
        <v>237</v>
      </c>
      <c r="D3" s="16" t="s">
        <v>333</v>
      </c>
      <c r="E3" s="16" t="s">
        <v>4</v>
      </c>
      <c r="F3" s="16" t="s">
        <v>334</v>
      </c>
    </row>
    <row r="4" customFormat="false" ht="23.85" hidden="false" customHeight="false" outlineLevel="0" collapsed="false">
      <c r="A4" s="17" t="s">
        <v>335</v>
      </c>
      <c r="B4" s="19" t="s">
        <v>336</v>
      </c>
      <c r="C4" s="19" t="s">
        <v>337</v>
      </c>
      <c r="D4" s="18" t="s">
        <v>33</v>
      </c>
      <c r="E4" s="24" t="s">
        <v>9</v>
      </c>
      <c r="F4" s="19"/>
    </row>
    <row r="5" customFormat="false" ht="15" hidden="false" customHeight="false" outlineLevel="0" collapsed="false">
      <c r="A5" s="17" t="s">
        <v>338</v>
      </c>
      <c r="B5" s="19" t="s">
        <v>339</v>
      </c>
      <c r="C5" s="19" t="s">
        <v>340</v>
      </c>
      <c r="D5" s="18" t="s">
        <v>44</v>
      </c>
      <c r="E5" s="24" t="s">
        <v>9</v>
      </c>
      <c r="F5" s="19"/>
    </row>
    <row r="6" customFormat="false" ht="15" hidden="false" customHeight="false" outlineLevel="0" collapsed="false">
      <c r="A6" s="17" t="s">
        <v>341</v>
      </c>
      <c r="B6" s="19" t="s">
        <v>342</v>
      </c>
      <c r="C6" s="19" t="s">
        <v>343</v>
      </c>
      <c r="D6" s="18" t="s">
        <v>33</v>
      </c>
      <c r="E6" s="24" t="s">
        <v>9</v>
      </c>
      <c r="F6" s="19"/>
    </row>
    <row r="7" customFormat="false" ht="15" hidden="false" customHeight="false" outlineLevel="0" collapsed="false">
      <c r="A7" s="17" t="s">
        <v>344</v>
      </c>
      <c r="B7" s="19" t="s">
        <v>345</v>
      </c>
      <c r="C7" s="19" t="s">
        <v>57</v>
      </c>
      <c r="D7" s="18" t="s">
        <v>65</v>
      </c>
      <c r="E7" s="24" t="s">
        <v>9</v>
      </c>
      <c r="F7" s="19"/>
    </row>
    <row r="8" customFormat="false" ht="15" hidden="false" customHeight="false" outlineLevel="0" collapsed="false">
      <c r="A8" s="17" t="s">
        <v>346</v>
      </c>
      <c r="B8" s="19" t="s">
        <v>347</v>
      </c>
      <c r="C8" s="19" t="s">
        <v>348</v>
      </c>
      <c r="D8" s="18" t="s">
        <v>65</v>
      </c>
      <c r="E8" s="24" t="s">
        <v>9</v>
      </c>
      <c r="F8" s="19"/>
    </row>
    <row r="9" customFormat="false" ht="23.85" hidden="false" customHeight="false" outlineLevel="0" collapsed="false">
      <c r="A9" s="17" t="s">
        <v>349</v>
      </c>
      <c r="B9" s="19" t="s">
        <v>350</v>
      </c>
      <c r="C9" s="19" t="s">
        <v>351</v>
      </c>
      <c r="D9" s="18" t="s">
        <v>65</v>
      </c>
      <c r="E9" s="24" t="s">
        <v>9</v>
      </c>
      <c r="F9" s="19"/>
    </row>
    <row r="10" customFormat="false" ht="15" hidden="false" customHeight="false" outlineLevel="0" collapsed="false">
      <c r="A10" s="17" t="s">
        <v>352</v>
      </c>
      <c r="B10" s="19" t="s">
        <v>353</v>
      </c>
      <c r="C10" s="19" t="s">
        <v>354</v>
      </c>
      <c r="D10" s="18" t="s">
        <v>44</v>
      </c>
      <c r="E10" s="24" t="s">
        <v>9</v>
      </c>
      <c r="F10" s="19"/>
    </row>
  </sheetData>
  <autoFilter ref="A3:F10"/>
  <dataValidations count="1">
    <dataValidation allowBlank="true" errorStyle="stop" operator="between" showDropDown="false" showErrorMessage="false" showInputMessage="false" sqref="E4:E50" type="list">
      <formula1>"Not started,Planned,In progress,Blocked,Done,Dropped,Optional"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2026-09-09T16:37:23Z</dcterms:created>
  <dc:creator>openpyxl</dc:creator>
  <dc:description/>
  <dc:language>en-US</dc:language>
  <cp:lastModifiedBy/>
  <dcterms:modified xsi:type="dcterms:W3CDTF">2026-09-09T16:37:23Z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