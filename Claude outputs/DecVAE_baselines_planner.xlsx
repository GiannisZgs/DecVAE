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uns" sheetId="2" state="visible" r:id="rId4"/>
    <sheet name="Methods" sheetId="3" state="visible" r:id="rId5"/>
    <sheet name="Protocol" sheetId="4" state="visible" r:id="rId6"/>
    <sheet name="Results" sheetId="5" state="visible" r:id="rId7"/>
  </sheets>
  <definedNames>
    <definedName function="false" hidden="true" localSheetId="2" name="_xlnm._FilterDatabase" vbProcedure="false">Methods!$A$3:$J$18</definedName>
    <definedName function="false" hidden="true" localSheetId="3" name="_xlnm._FilterDatabase" vbProcedure="false">Protocol!$A$3:$E$16</definedName>
    <definedName function="false" hidden="true" localSheetId="4" name="_xlnm._FilterDatabase" vbProcedure="false">Results!$A$3:$N$30</definedName>
    <definedName function="false" hidden="true" localSheetId="1" name="_xlnm._FilterDatabase" vbProcedure="false">Runs!$A$3:$Q$26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<sst xmlns="http://schemas.openxmlformats.org/spreadsheetml/2006/main" count="555" uniqueCount="274">
  <si>
    <t xml:space="preserve">DecVAE baseline experiments: planner</t>
  </si>
  <si>
    <t xml:space="preserve">One row per method and dataset on the Runs sheet. Counts below update from the Status column there.</t>
  </si>
  <si>
    <t xml:space="preserve">Run status</t>
  </si>
  <si>
    <t xml:space="preserve">Status</t>
  </si>
  <si>
    <t xml:space="preserve">Runs</t>
  </si>
  <si>
    <t xml:space="preserve">Not started</t>
  </si>
  <si>
    <t xml:space="preserve">Queued</t>
  </si>
  <si>
    <t xml:space="preserve">Running</t>
  </si>
  <si>
    <t xml:space="preserve">Done</t>
  </si>
  <si>
    <t xml:space="preserve">Failed</t>
  </si>
  <si>
    <t xml:space="preserve">Optional</t>
  </si>
  <si>
    <t xml:space="preserve">Dropped</t>
  </si>
  <si>
    <t xml:space="preserve">Total runs</t>
  </si>
  <si>
    <t xml:space="preserve">Effort</t>
  </si>
  <si>
    <t xml:space="preserve">Runs needing pre-training</t>
  </si>
  <si>
    <t xml:space="preserve">Runs with no GPU cost</t>
  </si>
  <si>
    <t xml:space="preserve">Estimated GPU hours (total)</t>
  </si>
  <si>
    <t xml:space="preserve">Estimated GPU hours remaining</t>
  </si>
  <si>
    <t xml:space="preserve">Evaluations completed</t>
  </si>
  <si>
    <t xml:space="preserve">Legend</t>
  </si>
  <si>
    <t xml:space="preserve">Yellow cells are the ones to fill in: Est. GPU h, Started, Finished, Checkpoint and W&amp;B on the Runs sheet; the baseline column on Protocol; every metric on Results. Days is a formula and fills itself once both dates are entered. Status and Eval done are dropdowns. Estimated GPU hours are deliberately left blank rather than guessed, except for the inference-only rows where the true cost is zero.</t>
  </si>
  <si>
    <t xml:space="preserve">Sequencing</t>
  </si>
  <si>
    <t xml:space="preserve">Ranks 1 and 2 (wav2vec2, SFA) need no GPU and can proceed immediately alongside everything else. Among the GPU jobs run CoST first: it is the most direct competitor to the central claim, so an adverse result is worth discovering early. Ranks 1 to 7 are the defensible minimum and close every baseline request made by name. Ranks 8 and 9 strengthen the paper beyond compliance.</t>
  </si>
  <si>
    <t xml:space="preserve">Baseline runs: one row per method and dataset</t>
  </si>
  <si>
    <t xml:space="preserve">Yellow cells are for you to fill in. Ranks follow the agreed priority order. Delete the EXAMPLE row.</t>
  </si>
  <si>
    <t xml:space="preserve">Run ID</t>
  </si>
  <si>
    <t xml:space="preserve">Rank</t>
  </si>
  <si>
    <t xml:space="preserve">Method</t>
  </si>
  <si>
    <t xml:space="preserve">Family</t>
  </si>
  <si>
    <t xml:space="preserve">Dataset</t>
  </si>
  <si>
    <t xml:space="preserve">Branches</t>
  </si>
  <si>
    <t xml:space="preserve">Latent dim</t>
  </si>
  <si>
    <t xml:space="preserve">Pre-train</t>
  </si>
  <si>
    <t xml:space="preserve">Est. GPU h</t>
  </si>
  <si>
    <t xml:space="preserve">Started</t>
  </si>
  <si>
    <t xml:space="preserve">Finished</t>
  </si>
  <si>
    <t xml:space="preserve">Days</t>
  </si>
  <si>
    <t xml:space="preserve">Checkpoint</t>
  </si>
  <si>
    <t xml:space="preserve">W&amp;B run</t>
  </si>
  <si>
    <t xml:space="preserve">Eval done</t>
  </si>
  <si>
    <t xml:space="preserve">Notes</t>
  </si>
  <si>
    <t xml:space="preserve">EXAMPLE</t>
  </si>
  <si>
    <t xml:space="preserve">(delete this row)</t>
  </si>
  <si>
    <t xml:space="preserve">-</t>
  </si>
  <si>
    <t xml:space="preserve">TIMIT</t>
  </si>
  <si>
    <t xml:space="preserve">Z + S</t>
  </si>
  <si>
    <t xml:space="preserve">Yes</t>
  </si>
  <si>
    <t xml:space="preserve">2026-09-15</t>
  </si>
  <si>
    <t xml:space="preserve">2026-09-16</t>
  </si>
  <si>
    <t xml:space="preserve">ckpt/example</t>
  </si>
  <si>
    <t xml:space="preserve">wandb/abc123</t>
  </si>
  <si>
    <t xml:space="preserve">Shows the expected format</t>
  </si>
  <si>
    <t xml:space="preserve">W2V-SIM</t>
  </si>
  <si>
    <t xml:space="preserve">wav2vec2 (frozen)</t>
  </si>
  <si>
    <t xml:space="preserve">Speech SSL</t>
  </si>
  <si>
    <t xml:space="preserve">SimVowels</t>
  </si>
  <si>
    <t xml:space="preserve">Z</t>
  </si>
  <si>
    <t xml:space="preserve">No</t>
  </si>
  <si>
    <t xml:space="preserve">Inference only. Same encoder family as DecVAE</t>
  </si>
  <si>
    <t xml:space="preserve">W2V-TIM</t>
  </si>
  <si>
    <t xml:space="preserve">Inference only</t>
  </si>
  <si>
    <t xml:space="preserve">W2V-IEM</t>
  </si>
  <si>
    <t xml:space="preserve">IEMOCAP</t>
  </si>
  <si>
    <t xml:space="preserve">WLM-SIM</t>
  </si>
  <si>
    <t xml:space="preserve">WavLM (frozen)</t>
  </si>
  <si>
    <t xml:space="preserve">Optional modern alternative to wav2vec2, same zero cost</t>
  </si>
  <si>
    <t xml:space="preserve">WLM-TIM</t>
  </si>
  <si>
    <t xml:space="preserve">WLM-IEM</t>
  </si>
  <si>
    <t xml:space="preserve">SFA-SIM</t>
  </si>
  <si>
    <t xml:space="preserve">SFA</t>
  </si>
  <si>
    <t xml:space="preserve">Slowness</t>
  </si>
  <si>
    <t xml:space="preserve">sklearn-sfa. Run at 20 comps (to match PCA/ICA) and at z_dim</t>
  </si>
  <si>
    <t xml:space="preserve">SFA-TIM</t>
  </si>
  <si>
    <t xml:space="preserve">Needs ordered contiguous frames. Use context stacking or quadratic expansion</t>
  </si>
  <si>
    <t xml:space="preserve">SFA-IEM</t>
  </si>
  <si>
    <t xml:space="preserve">COST-SIM</t>
  </si>
  <si>
    <t xml:space="preserve">CoST</t>
  </si>
  <si>
    <t xml:space="preserve">Decomposition</t>
  </si>
  <si>
    <t xml:space="preserve">RUN THIS FIRST of the GPU jobs: most dangerous comparison</t>
  </si>
  <si>
    <t xml:space="preserve">COST-TIM</t>
  </si>
  <si>
    <t xml:space="preserve">Apply at utterance level over Mel frames, closer to its intended use</t>
  </si>
  <si>
    <t xml:space="preserve">TCL-SIM</t>
  </si>
  <si>
    <t xml:space="preserve">TCL</t>
  </si>
  <si>
    <t xml:space="preserve">Time-contrastive</t>
  </si>
  <si>
    <t xml:space="preserve">Segment-index pretext. Decide segment definition (uniform time bins within utterance)</t>
  </si>
  <si>
    <t xml:space="preserve">TCL-TIM</t>
  </si>
  <si>
    <t xml:space="preserve">Small MLP; cheapest neural baseline</t>
  </si>
  <si>
    <t xml:space="preserve">FHV-SIM</t>
  </si>
  <si>
    <t xml:space="preserve">FHVAE</t>
  </si>
  <si>
    <t xml:space="preserve">Sequential VAE</t>
  </si>
  <si>
    <t xml:space="preserve">Two-timescale, directly comparable to the S/Z branches</t>
  </si>
  <si>
    <t xml:space="preserve">FHV-TIM</t>
  </si>
  <si>
    <t xml:space="preserve">Originally evaluated on TIMIT: zero protocol invention</t>
  </si>
  <si>
    <t xml:space="preserve">CPC-TIM</t>
  </si>
  <si>
    <t xml:space="preserve">CPC</t>
  </si>
  <si>
    <t xml:space="preserve">Sequential SSL</t>
  </si>
  <si>
    <t xml:space="preserve">Named explicitly by R5. TIMIT only, coverage tier</t>
  </si>
  <si>
    <t xml:space="preserve">CF-IEM-1</t>
  </si>
  <si>
    <t xml:space="preserve">(carry-forward #1, TBD)</t>
  </si>
  <si>
    <t xml:space="preserve">TBD</t>
  </si>
  <si>
    <t xml:space="preserve">Best of CoST / TCL / FHVAE. Fine-tuning protocol as for DecVAE</t>
  </si>
  <si>
    <t xml:space="preserve">CF-IEM-2</t>
  </si>
  <si>
    <t xml:space="preserve">(carry-forward #2, TBD)</t>
  </si>
  <si>
    <t xml:space="preserve">Second best. Hardest case for the frequency prior</t>
  </si>
  <si>
    <t xml:space="preserve">TFC-SIM</t>
  </si>
  <si>
    <t xml:space="preserve">TF-C</t>
  </si>
  <si>
    <t xml:space="preserve">Time-frequency SSL</t>
  </si>
  <si>
    <t xml:space="preserve">Sharpest test: one frequency view vs C orthogonal components</t>
  </si>
  <si>
    <t xml:space="preserve">TFC-TIM</t>
  </si>
  <si>
    <t xml:space="preserve">Public code organised around pre-train then transfer</t>
  </si>
  <si>
    <t xml:space="preserve">SLV-SIM</t>
  </si>
  <si>
    <t xml:space="preserve">SlowVAE</t>
  </si>
  <si>
    <t xml:space="preserve">Slowness / temporal sparsity</t>
  </si>
  <si>
    <t xml:space="preserve">SimVowels first: identifiability claim needs ground-truth factors</t>
  </si>
  <si>
    <t xml:space="preserve">SLV-TIM</t>
  </si>
  <si>
    <t xml:space="preserve">Only if budget allows</t>
  </si>
  <si>
    <t xml:space="preserve">Method reference table</t>
  </si>
  <si>
    <t xml:space="preserve">Status column: Benchmark, Optional, Dropped, or Cite and distinguish. Filter on it to see the benchmark set.</t>
  </si>
  <si>
    <t xml:space="preserve">Source</t>
  </si>
  <si>
    <t xml:space="preserve">Code</t>
  </si>
  <si>
    <t xml:space="preserve">Unsupervised</t>
  </si>
  <si>
    <t xml:space="preserve">Emits embedding</t>
  </si>
  <si>
    <t xml:space="preserve">Requested by</t>
  </si>
  <si>
    <t xml:space="preserve">Decision</t>
  </si>
  <si>
    <t xml:space="preserve">Adaptation needed</t>
  </si>
  <si>
    <t xml:space="preserve">Notes and risks</t>
  </si>
  <si>
    <t xml:space="preserve">Decomposition-based representation learning</t>
  </si>
  <si>
    <t xml:space="preserve">Woo et al., ICLR 2022</t>
  </si>
  <si>
    <t xml:space="preserve">arxiv.org/abs/2202.01575</t>
  </si>
  <si>
    <t xml:space="preserve">R3 #1, R5 #2</t>
  </si>
  <si>
    <t xml:space="preserve">Benchmark</t>
  </si>
  <si>
    <t xml:space="preserve">Apply at utterance level over Mel frames; match z_dim</t>
  </si>
  <si>
    <t xml:space="preserve">Built for forecasting; seasonal/trend split may be degenerate on 25 ms frames</t>
  </si>
  <si>
    <t xml:space="preserve">Time-contrastive learning / nonlinear ICA</t>
  </si>
  <si>
    <t xml:space="preserve">Hyvarinen &amp; Morioka, NeurIPS 2016</t>
  </si>
  <si>
    <t xml:space="preserve">R1 #5, R3 #1</t>
  </si>
  <si>
    <t xml:space="preserve">MLP on Mel frames, segment index as pretext label</t>
  </si>
  <si>
    <t xml:space="preserve">Segment definition matters; use uniform time bins within utterance</t>
  </si>
  <si>
    <t xml:space="preserve">Disentangled sequential VAE</t>
  </si>
  <si>
    <t xml:space="preserve">Hsu, Zhang &amp; Glass, NeurIPS 2017 (ref [16])</t>
  </si>
  <si>
    <t xml:space="preserve">R1 #5, R5 #2</t>
  </si>
  <si>
    <t xml:space="preserve">None: originally evaluated on TIMIT with the same two-timescale structure</t>
  </si>
  <si>
    <t xml:space="preserve">Safest baseline. Already cited in the manuscript</t>
  </si>
  <si>
    <t xml:space="preserve">Self-supervised time-frequency consistency</t>
  </si>
  <si>
    <t xml:space="preserve">Zhang et al., NeurIPS 2022</t>
  </si>
  <si>
    <t xml:space="preserve">github.com/mims-harvard/TFC-pretraining</t>
  </si>
  <si>
    <t xml:space="preserve">R5 #2</t>
  </si>
  <si>
    <t xml:space="preserve">Benchmark (optional)</t>
  </si>
  <si>
    <t xml:space="preserve">Feed Mel frames; keep their pre-train/fine-tune split</t>
  </si>
  <si>
    <t xml:space="preserve">Its time-vs-frequency alignment is the single-view special case of L_recon</t>
  </si>
  <si>
    <t xml:space="preserve">Contrastive predictive coding</t>
  </si>
  <si>
    <t xml:space="preserve">van den Oord et al., 2018 (ref [2])</t>
  </si>
  <si>
    <t xml:space="preserve">Standard InfoNCE with autoregressive context on Mel frames</t>
  </si>
  <si>
    <t xml:space="preserve">Cited already, but currently mis-cited at main line 29; move it</t>
  </si>
  <si>
    <t xml:space="preserve">wav2vec2</t>
  </si>
  <si>
    <t xml:space="preserve">Self-supervised speech representation</t>
  </si>
  <si>
    <t xml:space="preserve">Baevski et al., NeurIPS 2020 (ref [40])</t>
  </si>
  <si>
    <t xml:space="preserve">HuggingFace checkpoint</t>
  </si>
  <si>
    <t xml:space="preserve">Frozen; extract embeddings only</t>
  </si>
  <si>
    <t xml:space="preserve">Zero pre-training cost. DecVAE's encoder is already Wav2Vec2-based</t>
  </si>
  <si>
    <t xml:space="preserve">WavLM</t>
  </si>
  <si>
    <t xml:space="preserve">Chen et al., 2022</t>
  </si>
  <si>
    <t xml:space="preserve">R5 #2 (implied)</t>
  </si>
  <si>
    <t xml:space="preserve">Same slot as wav2vec2, same zero cost; more current for speaker and emotion tasks</t>
  </si>
  <si>
    <t xml:space="preserve">Slow feature analysis</t>
  </si>
  <si>
    <t xml:space="preserve">Wiskott &amp; Sejnowski, Neural Computation 2002</t>
  </si>
  <si>
    <t xml:space="preserve">github.com/wiskott-lab/sklearn-sfa</t>
  </si>
  <si>
    <t xml:space="preserve">R1 #5</t>
  </si>
  <si>
    <t xml:space="preserve">Whiten, then PCA on time derivatives, smallest eigenvalues</t>
  </si>
  <si>
    <t xml:space="preserve">Needs ordered contiguous frames. Use nonlinear expansion so it is not handicapped</t>
  </si>
  <si>
    <t xml:space="preserve">Temporal sparse coding, slowness prior</t>
  </si>
  <si>
    <t xml:space="preserve">Klindt et al., ICLR 2021</t>
  </si>
  <si>
    <t xml:space="preserve">github.com/bethgelab/slow_disentanglement</t>
  </si>
  <si>
    <t xml:space="preserve">R1 #5 (recent reading)</t>
  </si>
  <si>
    <t xml:space="preserve">Matched encoder and z_dim</t>
  </si>
  <si>
    <t xml:space="preserve">Answers the word 'recent' in R1's comment, which classical SFA does not</t>
  </si>
  <si>
    <t xml:space="preserve">DSVAE</t>
  </si>
  <si>
    <t xml:space="preserve">Disentangled sequential autoencoder</t>
  </si>
  <si>
    <t xml:space="preserve">Li &amp; Mandt, ICML 2018</t>
  </si>
  <si>
    <t xml:space="preserve">Static/dynamic split would need adapting from video to speech</t>
  </si>
  <si>
    <t xml:space="preserve">Same reviewer slot as FHVAE, more protocol invention. First to cut</t>
  </si>
  <si>
    <t xml:space="preserve">BTSF</t>
  </si>
  <si>
    <t xml:space="preserve">Unsupervised temporal-spectral fusion</t>
  </si>
  <si>
    <t xml:space="preserve">Yang &amp; Hong, ICML 2022</t>
  </si>
  <si>
    <t xml:space="preserve">proceedings.mlr.press/v162/yang22e.html</t>
  </si>
  <si>
    <t xml:space="preserve">Instance-level embedding, drops into the eval pipeline</t>
  </si>
  <si>
    <t xml:space="preserve">Passes the filter but the comparison is less pointed than TF-C</t>
  </si>
  <si>
    <t xml:space="preserve">LaST</t>
  </si>
  <si>
    <t xml:space="preserve">Variational seasonal-trend latent decomposition</t>
  </si>
  <si>
    <t xml:space="preserve">Wang et al., NeurIPS 2022</t>
  </si>
  <si>
    <t xml:space="preserve">github.com/zhycs/LaST</t>
  </si>
  <si>
    <t xml:space="preserve">No (needs forecasting targets)</t>
  </si>
  <si>
    <t xml:space="preserve">Cite and distinguish</t>
  </si>
  <si>
    <t xml:space="preserve">Not benchmarkable without inventing a proxy task</t>
  </si>
  <si>
    <t xml:space="preserve">CLOSEST prior work to VDA: variational latent decomposition with MI-based independence. Must be cited</t>
  </si>
  <si>
    <t xml:space="preserve">Autoformer</t>
  </si>
  <si>
    <t xml:space="preserve">Forecasting with decomposition blocks</t>
  </si>
  <si>
    <t xml:space="preserve">Wu et al., NeurIPS 2021</t>
  </si>
  <si>
    <t xml:space="preserve">n/a</t>
  </si>
  <si>
    <t xml:space="preserve">Not currently cited anywhere in the manuscript. Add it</t>
  </si>
  <si>
    <t xml:space="preserve">FEDformer</t>
  </si>
  <si>
    <t xml:space="preserve">Forecasting with frequency-enhanced decomposition</t>
  </si>
  <si>
    <t xml:space="preserve">Zhou et al., ICML 2022 (ref [38])</t>
  </si>
  <si>
    <t xml:space="preserve">Already cited as [38]. Expand the discussion of why it is not a baseline</t>
  </si>
  <si>
    <t xml:space="preserve">SpeechSplit</t>
  </si>
  <si>
    <t xml:space="preserve">Unsupervised speech decomposition</t>
  </si>
  <si>
    <t xml:space="preserve">Qian et al., ICML 2020</t>
  </si>
  <si>
    <t xml:space="preserve">github.com/auspicious3000/SpeechSplit</t>
  </si>
  <si>
    <t xml:space="preserve">Cite (decision D4)</t>
  </si>
  <si>
    <t xml:space="preserve">Needs an F0 stream; bottleneck tuning is fragile</t>
  </si>
  <si>
    <t xml:space="preserve">Speech-native decomposition competitor. Contingency if TIMIT or IEMOCAP come out close</t>
  </si>
  <si>
    <t xml:space="preserve">Matched protocol checklist</t>
  </si>
  <si>
    <t xml:space="preserve">Fill the baseline column as each method is set up. Any unmatched row must be disclosed in the response letter.</t>
  </si>
  <si>
    <t xml:space="preserve">Protocol dimension</t>
  </si>
  <si>
    <t xml:space="preserve">DecVAE value</t>
  </si>
  <si>
    <t xml:space="preserve">Baseline value</t>
  </si>
  <si>
    <t xml:space="preserve">Matched?</t>
  </si>
  <si>
    <t xml:space="preserve">Input features</t>
  </si>
  <si>
    <t xml:space="preserve">Mel filterbank, 80 bands</t>
  </si>
  <si>
    <t xml:space="preserve">Supp. Table 5. Must be identical for every baseline</t>
  </si>
  <si>
    <t xml:space="preserve">Max / min duration</t>
  </si>
  <si>
    <t xml:space="preserve">4 s (sim), 7.15 s (real) / 1 s</t>
  </si>
  <si>
    <t xml:space="preserve">Supp. Table 5</t>
  </si>
  <si>
    <t xml:space="preserve">Latent dimensionality</t>
  </si>
  <si>
    <t xml:space="preserve">48 (sim), 64 (real) per subspace</t>
  </si>
  <si>
    <t xml:space="preserve">PCA/ICA use 20; run SFA at both to pre-empt the asymmetry question</t>
  </si>
  <si>
    <t xml:space="preserve">Aggregation</t>
  </si>
  <si>
    <t xml:space="preserve">Concatenation of original + component subspaces</t>
  </si>
  <si>
    <t xml:space="preserve">Not applicable to single-subspace baselines; note this</t>
  </si>
  <si>
    <t xml:space="preserve">Parameter budget</t>
  </si>
  <si>
    <t xml:space="preserve">Record encoder parameter counts so the letter can claim rough matching</t>
  </si>
  <si>
    <t xml:space="preserve">Optimizer</t>
  </si>
  <si>
    <t xml:space="preserve">Adam (b1 0.5, b2 0.999, eps 1e-6, wd 1e-4)</t>
  </si>
  <si>
    <t xml:space="preserve">Learning schedule</t>
  </si>
  <si>
    <t xml:space="preserve">Constant with warmup (Z), linear (S)</t>
  </si>
  <si>
    <t xml:space="preserve">Peak 8e-5 (Z), 1e-4 (S)</t>
  </si>
  <si>
    <t xml:space="preserve">Early stopping</t>
  </si>
  <si>
    <t xml:space="preserve">delta 0.2%, patience 5, warmup 100 epochs</t>
  </si>
  <si>
    <t xml:space="preserve">Downstream classifiers</t>
  </si>
  <si>
    <t xml:space="preserve">LogReg, Random Forest, SVM</t>
  </si>
  <si>
    <t xml:space="preserve">Deliberately simple, to expose representation quality</t>
  </si>
  <si>
    <t xml:space="preserve">Cross-validation</t>
  </si>
  <si>
    <t xml:space="preserve">5-fold outer, 3-fold inner, 5 seeds</t>
  </si>
  <si>
    <t xml:space="preserve">LOSO on IEMOCAP with 10 seeds</t>
  </si>
  <si>
    <t xml:space="preserve">Disentanglement metrics</t>
  </si>
  <si>
    <t xml:space="preserve">MI, GCN, DCI (D/C/I), Modularity, Explicitness, IRS</t>
  </si>
  <si>
    <t xml:space="preserve">All take (embedding, factor label) arrays: no code changes needed</t>
  </si>
  <si>
    <t xml:space="preserve">Confidence intervals</t>
  </si>
  <si>
    <t xml:space="preserve">95% over folds and seeds</t>
  </si>
  <si>
    <t xml:space="preserve">Frame ordering</t>
  </si>
  <si>
    <t xml:space="preserve">Random masking of l_SSL% of frames</t>
  </si>
  <si>
    <t xml:space="preserve">SFA REQUIRES ordered contiguous frames: check the collator path</t>
  </si>
  <si>
    <t xml:space="preserve">Results grid, to fill as runs complete</t>
  </si>
  <si>
    <t xml:space="preserve">Task A/B/C by dataset. SimVowels: vowel, speaker. TIMIT: phoneme, speaker. IEMOCAP: emotion, speaker, phoneme.</t>
  </si>
  <si>
    <t xml:space="preserve">MI</t>
  </si>
  <si>
    <t xml:space="preserve">GCN</t>
  </si>
  <si>
    <t xml:space="preserve">DCI-D</t>
  </si>
  <si>
    <t xml:space="preserve">DCI-C</t>
  </si>
  <si>
    <t xml:space="preserve">DCI-I</t>
  </si>
  <si>
    <t xml:space="preserve">Modularity</t>
  </si>
  <si>
    <t xml:space="preserve">Explicitness</t>
  </si>
  <si>
    <t xml:space="preserve">IRS</t>
  </si>
  <si>
    <t xml:space="preserve">Task A</t>
  </si>
  <si>
    <t xml:space="preserve">Task B</t>
  </si>
  <si>
    <t xml:space="preserve">Task C</t>
  </si>
  <si>
    <t xml:space="preserve">DecVAE (best variant)</t>
  </si>
  <si>
    <t xml:space="preserve">Existing result: copy from Supp. Tables</t>
  </si>
  <si>
    <t xml:space="preserve">DecAE (beta = 0)</t>
  </si>
  <si>
    <t xml:space="preserve">beta-VAE</t>
  </si>
  <si>
    <t xml:space="preserve">PCA</t>
  </si>
  <si>
    <t xml:space="preserve">ICA</t>
  </si>
  <si>
    <t xml:space="preserve">New</t>
  </si>
  <si>
    <t xml:space="preserve">(carry-forward #1)</t>
  </si>
  <si>
    <t xml:space="preserve">(carry-forward #2)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</si>
</sst>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E7E6E6"/>
      </patternFill>
    </fill>
    <fill>
      <patternFill patternType="solid">
        <fgColor rgb="FFFFEB9C"/>
        <bgColor rgb="FFFFFF99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E7E6E6"/>
      </patternFill>
    </fill>
    <fill>
      <patternFill patternType="solid">
        <fgColor rgb="FFEDEDED"/>
        <bgColor rgb="FFE7E6E6"/>
      </patternFill>
    </fill>
    <fill>
      <patternFill patternType="solid">
        <fgColor rgb="FFE7E6E6"/>
        <bgColor rgb="FFEDEDED"/>
      </patternFill>
    </fill>
    <fill>
      <patternFill patternType="solid">
        <fgColor rgb="FFFFFF99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F99"/>
          <bgColor rgb="FF000000"/>
        </patternFill>
      </fill>
    </dxf>
    <dxf>
      <fill>
        <patternFill patternType="solid">
          <fgColor rgb="FFC6EFC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066CC"/>
      <rgbColor rgb="FFFFEB9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6" min="3" style="0" width="1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</row>
    <row r="6" customFormat="false" ht="15" hidden="false" customHeight="false" outlineLevel="0" collapsed="false">
      <c r="A6" s="5" t="s">
        <v>5</v>
      </c>
      <c r="B6" s="5" t="n">
        <f aca="false">COUNTIF(Runs!J:J,"Not started")</f>
        <v>15</v>
      </c>
    </row>
    <row r="7" customFormat="false" ht="15" hidden="false" customHeight="false" outlineLevel="0" collapsed="false">
      <c r="A7" s="6" t="s">
        <v>6</v>
      </c>
      <c r="B7" s="5" t="n">
        <f aca="false">COUNTIF(Runs!J:J,"Queued")</f>
        <v>0</v>
      </c>
    </row>
    <row r="8" customFormat="false" ht="15" hidden="false" customHeight="false" outlineLevel="0" collapsed="false">
      <c r="A8" s="7" t="s">
        <v>7</v>
      </c>
      <c r="B8" s="5" t="n">
        <f aca="false">COUNTIF(Runs!J:J,"Running")</f>
        <v>0</v>
      </c>
    </row>
    <row r="9" customFormat="false" ht="15" hidden="false" customHeight="false" outlineLevel="0" collapsed="false">
      <c r="A9" s="8" t="s">
        <v>8</v>
      </c>
      <c r="B9" s="5" t="n">
        <f aca="false">COUNTIF(Runs!J:J,"Done")</f>
        <v>1</v>
      </c>
    </row>
    <row r="10" customFormat="false" ht="15" hidden="false" customHeight="false" outlineLevel="0" collapsed="false">
      <c r="A10" s="9" t="s">
        <v>9</v>
      </c>
      <c r="B10" s="5" t="n">
        <f aca="false">COUNTIF(Runs!J:J,"Failed")</f>
        <v>0</v>
      </c>
    </row>
    <row r="11" customFormat="false" ht="15" hidden="false" customHeight="false" outlineLevel="0" collapsed="false">
      <c r="A11" s="10" t="s">
        <v>10</v>
      </c>
      <c r="B11" s="5" t="n">
        <f aca="false">COUNTIF(Runs!J:J,"Optional")</f>
        <v>7</v>
      </c>
    </row>
    <row r="12" customFormat="false" ht="15" hidden="false" customHeight="false" outlineLevel="0" collapsed="false">
      <c r="A12" s="11" t="s">
        <v>11</v>
      </c>
      <c r="B12" s="5" t="n">
        <f aca="false">COUNTIF(Runs!J:J,"Dropped")</f>
        <v>0</v>
      </c>
    </row>
    <row r="13" customFormat="false" ht="15" hidden="false" customHeight="false" outlineLevel="0" collapsed="false">
      <c r="A13" s="12" t="s">
        <v>12</v>
      </c>
      <c r="B13" s="12" t="n">
        <f aca="false">COUNTA(Runs!A:A)-2</f>
        <v>24</v>
      </c>
    </row>
    <row r="15" customFormat="false" ht="15" hidden="false" customHeight="false" outlineLevel="0" collapsed="false">
      <c r="A15" s="3" t="s">
        <v>13</v>
      </c>
    </row>
    <row r="16" customFormat="false" ht="15" hidden="false" customHeight="false" outlineLevel="0" collapsed="false">
      <c r="A16" s="5" t="s">
        <v>14</v>
      </c>
      <c r="B16" s="5" t="n">
        <f aca="false">COUNTIF(Runs!H:H,"Yes")</f>
        <v>14</v>
      </c>
    </row>
    <row r="17" customFormat="false" ht="15" hidden="false" customHeight="false" outlineLevel="0" collapsed="false">
      <c r="A17" s="5" t="s">
        <v>15</v>
      </c>
      <c r="B17" s="5" t="n">
        <f aca="false">COUNTIF(Runs!H:H,"No")</f>
        <v>9</v>
      </c>
    </row>
    <row r="18" customFormat="false" ht="15" hidden="false" customHeight="false" outlineLevel="0" collapsed="false">
      <c r="A18" s="5" t="s">
        <v>16</v>
      </c>
      <c r="B18" s="5" t="n">
        <f aca="false">SUM(Runs!I:I)</f>
        <v>12</v>
      </c>
    </row>
    <row r="19" customFormat="false" ht="15" hidden="false" customHeight="false" outlineLevel="0" collapsed="false">
      <c r="A19" s="5" t="s">
        <v>17</v>
      </c>
      <c r="B19" s="5" t="n">
        <f aca="false">SUMIFS(Runs!I:I,Runs!J:J,"&lt;&gt;Done")</f>
        <v>0</v>
      </c>
    </row>
    <row r="20" customFormat="false" ht="15" hidden="false" customHeight="false" outlineLevel="0" collapsed="false">
      <c r="A20" s="5" t="s">
        <v>18</v>
      </c>
      <c r="B20" s="5" t="n">
        <f aca="false">COUNTIF(Runs!P:P,"Yes")</f>
        <v>1</v>
      </c>
    </row>
    <row r="22" customFormat="false" ht="15" hidden="false" customHeight="false" outlineLevel="0" collapsed="false">
      <c r="A22" s="3" t="s">
        <v>19</v>
      </c>
    </row>
    <row r="23" customFormat="false" ht="15" hidden="false" customHeight="true" outlineLevel="0" collapsed="false">
      <c r="A23" s="13" t="s">
        <v>20</v>
      </c>
      <c r="B23" s="13"/>
      <c r="C23" s="13"/>
      <c r="D23" s="13"/>
      <c r="E23" s="13"/>
      <c r="F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</row>
    <row r="28" customFormat="false" ht="15" hidden="false" customHeight="false" outlineLevel="0" collapsed="false">
      <c r="A28" s="3" t="s">
        <v>21</v>
      </c>
    </row>
    <row r="29" customFormat="false" ht="15" hidden="false" customHeight="true" outlineLevel="0" collapsed="false">
      <c r="A29" s="13" t="s">
        <v>22</v>
      </c>
      <c r="B29" s="13"/>
      <c r="C29" s="13"/>
      <c r="D29" s="13"/>
      <c r="E29" s="13"/>
      <c r="F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</row>
  </sheetData>
  <mergeCells count="2">
    <mergeCell ref="A23:F26"/>
    <mergeCell ref="A29:F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22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2" min="11" style="0" width="12"/>
    <col collapsed="false" customWidth="true" hidden="false" outlineLevel="0" max="13" min="13" style="0" width="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16" min="16" style="0" width="10"/>
    <col collapsed="false" customWidth="true" hidden="false" outlineLevel="0" max="17" min="17" style="0" width="62"/>
  </cols>
  <sheetData>
    <row r="1" customFormat="false" ht="16.15" hidden="false" customHeight="false" outlineLevel="0" collapsed="false">
      <c r="A1" s="14" t="s">
        <v>23</v>
      </c>
    </row>
    <row r="2" customFormat="false" ht="15" hidden="false" customHeight="false" outlineLevel="0" collapsed="false">
      <c r="A2" s="2" t="s">
        <v>24</v>
      </c>
    </row>
    <row r="3" customFormat="false" ht="23.85" hidden="false" customHeight="false" outlineLevel="0" collapsed="false">
      <c r="A3" s="15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  <c r="G3" s="15" t="s">
        <v>31</v>
      </c>
      <c r="H3" s="15" t="s">
        <v>32</v>
      </c>
      <c r="I3" s="15" t="s">
        <v>33</v>
      </c>
      <c r="J3" s="15" t="s">
        <v>3</v>
      </c>
      <c r="K3" s="15" t="s">
        <v>34</v>
      </c>
      <c r="L3" s="15" t="s">
        <v>35</v>
      </c>
      <c r="M3" s="15" t="s">
        <v>36</v>
      </c>
      <c r="N3" s="15" t="s">
        <v>37</v>
      </c>
      <c r="O3" s="15" t="s">
        <v>38</v>
      </c>
      <c r="P3" s="15" t="s">
        <v>39</v>
      </c>
      <c r="Q3" s="15" t="s">
        <v>40</v>
      </c>
    </row>
    <row r="4" customFormat="false" ht="15" hidden="false" customHeight="false" outlineLevel="0" collapsed="false">
      <c r="A4" s="16" t="s">
        <v>41</v>
      </c>
      <c r="B4" s="17" t="n">
        <v>0</v>
      </c>
      <c r="C4" s="18" t="s">
        <v>42</v>
      </c>
      <c r="D4" s="18" t="s">
        <v>43</v>
      </c>
      <c r="E4" s="17" t="s">
        <v>44</v>
      </c>
      <c r="F4" s="17" t="s">
        <v>45</v>
      </c>
      <c r="G4" s="17" t="n">
        <v>64</v>
      </c>
      <c r="H4" s="17" t="s">
        <v>46</v>
      </c>
      <c r="I4" s="17" t="n">
        <v>12</v>
      </c>
      <c r="J4" s="19" t="s">
        <v>8</v>
      </c>
      <c r="K4" s="17" t="s">
        <v>47</v>
      </c>
      <c r="L4" s="17" t="s">
        <v>48</v>
      </c>
      <c r="M4" s="20" t="n">
        <f aca="false">IF(AND(K4&lt;&gt;"",L4&lt;&gt;""),L4-K4,"")</f>
        <v>1</v>
      </c>
      <c r="N4" s="18" t="s">
        <v>49</v>
      </c>
      <c r="O4" s="18" t="s">
        <v>50</v>
      </c>
      <c r="P4" s="17" t="s">
        <v>46</v>
      </c>
      <c r="Q4" s="18" t="s">
        <v>51</v>
      </c>
    </row>
    <row r="5" customFormat="false" ht="15" hidden="false" customHeight="false" outlineLevel="0" collapsed="false">
      <c r="A5" s="21" t="s">
        <v>52</v>
      </c>
      <c r="B5" s="20" t="n">
        <v>1</v>
      </c>
      <c r="C5" s="22" t="s">
        <v>53</v>
      </c>
      <c r="D5" s="22" t="s">
        <v>54</v>
      </c>
      <c r="E5" s="20" t="s">
        <v>55</v>
      </c>
      <c r="F5" s="20" t="s">
        <v>56</v>
      </c>
      <c r="G5" s="20" t="n">
        <v>64</v>
      </c>
      <c r="H5" s="20" t="s">
        <v>57</v>
      </c>
      <c r="I5" s="20" t="n">
        <v>0</v>
      </c>
      <c r="J5" s="23" t="s">
        <v>5</v>
      </c>
      <c r="K5" s="24"/>
      <c r="L5" s="24"/>
      <c r="M5" s="20" t="str">
        <f aca="false">IF(AND(K5&lt;&gt;"",L5&lt;&gt;""),L5-K5,"")</f>
        <v/>
      </c>
      <c r="N5" s="25"/>
      <c r="O5" s="25"/>
      <c r="P5" s="23" t="s">
        <v>57</v>
      </c>
      <c r="Q5" s="22" t="s">
        <v>58</v>
      </c>
    </row>
    <row r="6" customFormat="false" ht="15" hidden="false" customHeight="false" outlineLevel="0" collapsed="false">
      <c r="A6" s="21" t="s">
        <v>59</v>
      </c>
      <c r="B6" s="20" t="n">
        <v>1</v>
      </c>
      <c r="C6" s="22" t="s">
        <v>53</v>
      </c>
      <c r="D6" s="22" t="s">
        <v>54</v>
      </c>
      <c r="E6" s="20" t="s">
        <v>44</v>
      </c>
      <c r="F6" s="20" t="s">
        <v>56</v>
      </c>
      <c r="G6" s="20" t="n">
        <v>64</v>
      </c>
      <c r="H6" s="20" t="s">
        <v>57</v>
      </c>
      <c r="I6" s="20" t="n">
        <v>0</v>
      </c>
      <c r="J6" s="23" t="s">
        <v>5</v>
      </c>
      <c r="K6" s="24"/>
      <c r="L6" s="24"/>
      <c r="M6" s="20" t="str">
        <f aca="false">IF(AND(K6&lt;&gt;"",L6&lt;&gt;""),L6-K6,"")</f>
        <v/>
      </c>
      <c r="N6" s="25"/>
      <c r="O6" s="25"/>
      <c r="P6" s="23" t="s">
        <v>57</v>
      </c>
      <c r="Q6" s="22" t="s">
        <v>60</v>
      </c>
    </row>
    <row r="7" customFormat="false" ht="15" hidden="false" customHeight="false" outlineLevel="0" collapsed="false">
      <c r="A7" s="21" t="s">
        <v>61</v>
      </c>
      <c r="B7" s="20" t="n">
        <v>1</v>
      </c>
      <c r="C7" s="22" t="s">
        <v>53</v>
      </c>
      <c r="D7" s="22" t="s">
        <v>54</v>
      </c>
      <c r="E7" s="20" t="s">
        <v>62</v>
      </c>
      <c r="F7" s="20" t="s">
        <v>45</v>
      </c>
      <c r="G7" s="20" t="n">
        <v>64</v>
      </c>
      <c r="H7" s="20" t="s">
        <v>57</v>
      </c>
      <c r="I7" s="20" t="n">
        <v>0</v>
      </c>
      <c r="J7" s="23" t="s">
        <v>5</v>
      </c>
      <c r="K7" s="24"/>
      <c r="L7" s="24"/>
      <c r="M7" s="20" t="str">
        <f aca="false">IF(AND(K7&lt;&gt;"",L7&lt;&gt;""),L7-K7,"")</f>
        <v/>
      </c>
      <c r="N7" s="25"/>
      <c r="O7" s="25"/>
      <c r="P7" s="23" t="s">
        <v>57</v>
      </c>
      <c r="Q7" s="22" t="s">
        <v>60</v>
      </c>
    </row>
    <row r="8" customFormat="false" ht="15" hidden="false" customHeight="false" outlineLevel="0" collapsed="false">
      <c r="A8" s="21" t="s">
        <v>63</v>
      </c>
      <c r="B8" s="20" t="n">
        <v>1</v>
      </c>
      <c r="C8" s="22" t="s">
        <v>64</v>
      </c>
      <c r="D8" s="22" t="s">
        <v>54</v>
      </c>
      <c r="E8" s="20" t="s">
        <v>55</v>
      </c>
      <c r="F8" s="20" t="s">
        <v>56</v>
      </c>
      <c r="G8" s="20" t="n">
        <v>64</v>
      </c>
      <c r="H8" s="20" t="s">
        <v>57</v>
      </c>
      <c r="I8" s="20" t="n">
        <v>0</v>
      </c>
      <c r="J8" s="26" t="s">
        <v>10</v>
      </c>
      <c r="K8" s="24"/>
      <c r="L8" s="24"/>
      <c r="M8" s="20" t="str">
        <f aca="false">IF(AND(K8&lt;&gt;"",L8&lt;&gt;""),L8-K8,"")</f>
        <v/>
      </c>
      <c r="N8" s="25"/>
      <c r="O8" s="25"/>
      <c r="P8" s="23" t="s">
        <v>57</v>
      </c>
      <c r="Q8" s="22" t="s">
        <v>65</v>
      </c>
    </row>
    <row r="9" customFormat="false" ht="15" hidden="false" customHeight="false" outlineLevel="0" collapsed="false">
      <c r="A9" s="21" t="s">
        <v>66</v>
      </c>
      <c r="B9" s="20" t="n">
        <v>1</v>
      </c>
      <c r="C9" s="22" t="s">
        <v>64</v>
      </c>
      <c r="D9" s="22" t="s">
        <v>54</v>
      </c>
      <c r="E9" s="20" t="s">
        <v>44</v>
      </c>
      <c r="F9" s="20" t="s">
        <v>56</v>
      </c>
      <c r="G9" s="20" t="n">
        <v>64</v>
      </c>
      <c r="H9" s="20" t="s">
        <v>57</v>
      </c>
      <c r="I9" s="20" t="n">
        <v>0</v>
      </c>
      <c r="J9" s="26" t="s">
        <v>10</v>
      </c>
      <c r="K9" s="24"/>
      <c r="L9" s="24"/>
      <c r="M9" s="20" t="str">
        <f aca="false">IF(AND(K9&lt;&gt;"",L9&lt;&gt;""),L9-K9,"")</f>
        <v/>
      </c>
      <c r="N9" s="25"/>
      <c r="O9" s="25"/>
      <c r="P9" s="23" t="s">
        <v>57</v>
      </c>
      <c r="Q9" s="22" t="s">
        <v>10</v>
      </c>
    </row>
    <row r="10" customFormat="false" ht="15" hidden="false" customHeight="false" outlineLevel="0" collapsed="false">
      <c r="A10" s="21" t="s">
        <v>67</v>
      </c>
      <c r="B10" s="20" t="n">
        <v>1</v>
      </c>
      <c r="C10" s="22" t="s">
        <v>64</v>
      </c>
      <c r="D10" s="22" t="s">
        <v>54</v>
      </c>
      <c r="E10" s="20" t="s">
        <v>62</v>
      </c>
      <c r="F10" s="20" t="s">
        <v>45</v>
      </c>
      <c r="G10" s="20" t="n">
        <v>64</v>
      </c>
      <c r="H10" s="20" t="s">
        <v>57</v>
      </c>
      <c r="I10" s="20" t="n">
        <v>0</v>
      </c>
      <c r="J10" s="26" t="s">
        <v>10</v>
      </c>
      <c r="K10" s="24"/>
      <c r="L10" s="24"/>
      <c r="M10" s="20" t="str">
        <f aca="false">IF(AND(K10&lt;&gt;"",L10&lt;&gt;""),L10-K10,"")</f>
        <v/>
      </c>
      <c r="N10" s="25"/>
      <c r="O10" s="25"/>
      <c r="P10" s="23" t="s">
        <v>57</v>
      </c>
      <c r="Q10" s="22" t="s">
        <v>10</v>
      </c>
    </row>
    <row r="11" customFormat="false" ht="15" hidden="false" customHeight="false" outlineLevel="0" collapsed="false">
      <c r="A11" s="21" t="s">
        <v>68</v>
      </c>
      <c r="B11" s="20" t="n">
        <v>2</v>
      </c>
      <c r="C11" s="22" t="s">
        <v>69</v>
      </c>
      <c r="D11" s="22" t="s">
        <v>70</v>
      </c>
      <c r="E11" s="20" t="s">
        <v>55</v>
      </c>
      <c r="F11" s="20" t="s">
        <v>45</v>
      </c>
      <c r="G11" s="20" t="n">
        <v>48</v>
      </c>
      <c r="H11" s="20" t="s">
        <v>57</v>
      </c>
      <c r="I11" s="20" t="n">
        <v>0</v>
      </c>
      <c r="J11" s="23" t="s">
        <v>5</v>
      </c>
      <c r="K11" s="24"/>
      <c r="L11" s="24"/>
      <c r="M11" s="20" t="str">
        <f aca="false">IF(AND(K11&lt;&gt;"",L11&lt;&gt;""),L11-K11,"")</f>
        <v/>
      </c>
      <c r="N11" s="25"/>
      <c r="O11" s="25"/>
      <c r="P11" s="23" t="s">
        <v>57</v>
      </c>
      <c r="Q11" s="22" t="s">
        <v>71</v>
      </c>
    </row>
    <row r="12" customFormat="false" ht="23.85" hidden="false" customHeight="false" outlineLevel="0" collapsed="false">
      <c r="A12" s="21" t="s">
        <v>72</v>
      </c>
      <c r="B12" s="20" t="n">
        <v>2</v>
      </c>
      <c r="C12" s="22" t="s">
        <v>69</v>
      </c>
      <c r="D12" s="22" t="s">
        <v>70</v>
      </c>
      <c r="E12" s="20" t="s">
        <v>44</v>
      </c>
      <c r="F12" s="20" t="s">
        <v>45</v>
      </c>
      <c r="G12" s="20" t="n">
        <v>64</v>
      </c>
      <c r="H12" s="20" t="s">
        <v>57</v>
      </c>
      <c r="I12" s="20" t="n">
        <v>0</v>
      </c>
      <c r="J12" s="23" t="s">
        <v>5</v>
      </c>
      <c r="K12" s="24"/>
      <c r="L12" s="24"/>
      <c r="M12" s="20" t="str">
        <f aca="false">IF(AND(K12&lt;&gt;"",L12&lt;&gt;""),L12-K12,"")</f>
        <v/>
      </c>
      <c r="N12" s="25"/>
      <c r="O12" s="25"/>
      <c r="P12" s="23" t="s">
        <v>57</v>
      </c>
      <c r="Q12" s="22" t="s">
        <v>73</v>
      </c>
    </row>
    <row r="13" customFormat="false" ht="15" hidden="false" customHeight="false" outlineLevel="0" collapsed="false">
      <c r="A13" s="21" t="s">
        <v>74</v>
      </c>
      <c r="B13" s="20" t="n">
        <v>2</v>
      </c>
      <c r="C13" s="22" t="s">
        <v>69</v>
      </c>
      <c r="D13" s="22" t="s">
        <v>70</v>
      </c>
      <c r="E13" s="20" t="s">
        <v>62</v>
      </c>
      <c r="F13" s="20" t="s">
        <v>45</v>
      </c>
      <c r="G13" s="20" t="n">
        <v>64</v>
      </c>
      <c r="H13" s="20" t="s">
        <v>57</v>
      </c>
      <c r="I13" s="20" t="n">
        <v>0</v>
      </c>
      <c r="J13" s="23" t="s">
        <v>5</v>
      </c>
      <c r="K13" s="24"/>
      <c r="L13" s="24"/>
      <c r="M13" s="20" t="str">
        <f aca="false">IF(AND(K13&lt;&gt;"",L13&lt;&gt;""),L13-K13,"")</f>
        <v/>
      </c>
      <c r="N13" s="25"/>
      <c r="O13" s="25"/>
      <c r="P13" s="23" t="s">
        <v>57</v>
      </c>
      <c r="Q13" s="22"/>
    </row>
    <row r="14" customFormat="false" ht="15" hidden="false" customHeight="false" outlineLevel="0" collapsed="false">
      <c r="A14" s="21" t="s">
        <v>75</v>
      </c>
      <c r="B14" s="20" t="n">
        <v>3</v>
      </c>
      <c r="C14" s="22" t="s">
        <v>76</v>
      </c>
      <c r="D14" s="22" t="s">
        <v>77</v>
      </c>
      <c r="E14" s="20" t="s">
        <v>55</v>
      </c>
      <c r="F14" s="20" t="s">
        <v>56</v>
      </c>
      <c r="G14" s="20" t="n">
        <v>48</v>
      </c>
      <c r="H14" s="20" t="s">
        <v>46</v>
      </c>
      <c r="I14" s="24"/>
      <c r="J14" s="23" t="s">
        <v>5</v>
      </c>
      <c r="K14" s="24"/>
      <c r="L14" s="24"/>
      <c r="M14" s="20" t="str">
        <f aca="false">IF(AND(K14&lt;&gt;"",L14&lt;&gt;""),L14-K14,"")</f>
        <v/>
      </c>
      <c r="N14" s="25"/>
      <c r="O14" s="25"/>
      <c r="P14" s="23" t="s">
        <v>57</v>
      </c>
      <c r="Q14" s="22" t="s">
        <v>78</v>
      </c>
    </row>
    <row r="15" customFormat="false" ht="15" hidden="false" customHeight="false" outlineLevel="0" collapsed="false">
      <c r="A15" s="21" t="s">
        <v>79</v>
      </c>
      <c r="B15" s="20" t="n">
        <v>3</v>
      </c>
      <c r="C15" s="22" t="s">
        <v>76</v>
      </c>
      <c r="D15" s="22" t="s">
        <v>77</v>
      </c>
      <c r="E15" s="20" t="s">
        <v>44</v>
      </c>
      <c r="F15" s="20" t="s">
        <v>56</v>
      </c>
      <c r="G15" s="20" t="n">
        <v>64</v>
      </c>
      <c r="H15" s="20" t="s">
        <v>46</v>
      </c>
      <c r="I15" s="24"/>
      <c r="J15" s="23" t="s">
        <v>5</v>
      </c>
      <c r="K15" s="24"/>
      <c r="L15" s="24"/>
      <c r="M15" s="20" t="str">
        <f aca="false">IF(AND(K15&lt;&gt;"",L15&lt;&gt;""),L15-K15,"")</f>
        <v/>
      </c>
      <c r="N15" s="25"/>
      <c r="O15" s="25"/>
      <c r="P15" s="23" t="s">
        <v>57</v>
      </c>
      <c r="Q15" s="22" t="s">
        <v>80</v>
      </c>
    </row>
    <row r="16" customFormat="false" ht="23.85" hidden="false" customHeight="false" outlineLevel="0" collapsed="false">
      <c r="A16" s="21" t="s">
        <v>81</v>
      </c>
      <c r="B16" s="20" t="n">
        <v>4</v>
      </c>
      <c r="C16" s="22" t="s">
        <v>82</v>
      </c>
      <c r="D16" s="22" t="s">
        <v>83</v>
      </c>
      <c r="E16" s="20" t="s">
        <v>55</v>
      </c>
      <c r="F16" s="20" t="s">
        <v>56</v>
      </c>
      <c r="G16" s="20" t="n">
        <v>48</v>
      </c>
      <c r="H16" s="20" t="s">
        <v>46</v>
      </c>
      <c r="I16" s="24"/>
      <c r="J16" s="23" t="s">
        <v>5</v>
      </c>
      <c r="K16" s="24"/>
      <c r="L16" s="24"/>
      <c r="M16" s="20" t="str">
        <f aca="false">IF(AND(K16&lt;&gt;"",L16&lt;&gt;""),L16-K16,"")</f>
        <v/>
      </c>
      <c r="N16" s="25"/>
      <c r="O16" s="25"/>
      <c r="P16" s="23" t="s">
        <v>57</v>
      </c>
      <c r="Q16" s="22" t="s">
        <v>84</v>
      </c>
    </row>
    <row r="17" customFormat="false" ht="15" hidden="false" customHeight="false" outlineLevel="0" collapsed="false">
      <c r="A17" s="21" t="s">
        <v>85</v>
      </c>
      <c r="B17" s="20" t="n">
        <v>4</v>
      </c>
      <c r="C17" s="22" t="s">
        <v>82</v>
      </c>
      <c r="D17" s="22" t="s">
        <v>83</v>
      </c>
      <c r="E17" s="20" t="s">
        <v>44</v>
      </c>
      <c r="F17" s="20" t="s">
        <v>56</v>
      </c>
      <c r="G17" s="20" t="n">
        <v>64</v>
      </c>
      <c r="H17" s="20" t="s">
        <v>46</v>
      </c>
      <c r="I17" s="24"/>
      <c r="J17" s="23" t="s">
        <v>5</v>
      </c>
      <c r="K17" s="24"/>
      <c r="L17" s="24"/>
      <c r="M17" s="20" t="str">
        <f aca="false">IF(AND(K17&lt;&gt;"",L17&lt;&gt;""),L17-K17,"")</f>
        <v/>
      </c>
      <c r="N17" s="25"/>
      <c r="O17" s="25"/>
      <c r="P17" s="23" t="s">
        <v>57</v>
      </c>
      <c r="Q17" s="22" t="s">
        <v>86</v>
      </c>
    </row>
    <row r="18" customFormat="false" ht="15" hidden="false" customHeight="false" outlineLevel="0" collapsed="false">
      <c r="A18" s="21" t="s">
        <v>87</v>
      </c>
      <c r="B18" s="20" t="n">
        <v>5</v>
      </c>
      <c r="C18" s="22" t="s">
        <v>88</v>
      </c>
      <c r="D18" s="22" t="s">
        <v>89</v>
      </c>
      <c r="E18" s="20" t="s">
        <v>55</v>
      </c>
      <c r="F18" s="20" t="s">
        <v>45</v>
      </c>
      <c r="G18" s="20" t="n">
        <v>48</v>
      </c>
      <c r="H18" s="20" t="s">
        <v>46</v>
      </c>
      <c r="I18" s="24"/>
      <c r="J18" s="23" t="s">
        <v>5</v>
      </c>
      <c r="K18" s="24"/>
      <c r="L18" s="24"/>
      <c r="M18" s="20" t="str">
        <f aca="false">IF(AND(K18&lt;&gt;"",L18&lt;&gt;""),L18-K18,"")</f>
        <v/>
      </c>
      <c r="N18" s="25"/>
      <c r="O18" s="25"/>
      <c r="P18" s="23" t="s">
        <v>57</v>
      </c>
      <c r="Q18" s="22" t="s">
        <v>90</v>
      </c>
    </row>
    <row r="19" customFormat="false" ht="15" hidden="false" customHeight="false" outlineLevel="0" collapsed="false">
      <c r="A19" s="21" t="s">
        <v>91</v>
      </c>
      <c r="B19" s="20" t="n">
        <v>5</v>
      </c>
      <c r="C19" s="22" t="s">
        <v>88</v>
      </c>
      <c r="D19" s="22" t="s">
        <v>89</v>
      </c>
      <c r="E19" s="20" t="s">
        <v>44</v>
      </c>
      <c r="F19" s="20" t="s">
        <v>45</v>
      </c>
      <c r="G19" s="20" t="n">
        <v>64</v>
      </c>
      <c r="H19" s="20" t="s">
        <v>46</v>
      </c>
      <c r="I19" s="24"/>
      <c r="J19" s="23" t="s">
        <v>5</v>
      </c>
      <c r="K19" s="24"/>
      <c r="L19" s="24"/>
      <c r="M19" s="20" t="str">
        <f aca="false">IF(AND(K19&lt;&gt;"",L19&lt;&gt;""),L19-K19,"")</f>
        <v/>
      </c>
      <c r="N19" s="25"/>
      <c r="O19" s="25"/>
      <c r="P19" s="23" t="s">
        <v>57</v>
      </c>
      <c r="Q19" s="22" t="s">
        <v>92</v>
      </c>
    </row>
    <row r="20" customFormat="false" ht="15" hidden="false" customHeight="false" outlineLevel="0" collapsed="false">
      <c r="A20" s="21" t="s">
        <v>93</v>
      </c>
      <c r="B20" s="20" t="n">
        <v>6</v>
      </c>
      <c r="C20" s="22" t="s">
        <v>94</v>
      </c>
      <c r="D20" s="22" t="s">
        <v>95</v>
      </c>
      <c r="E20" s="20" t="s">
        <v>44</v>
      </c>
      <c r="F20" s="20" t="s">
        <v>56</v>
      </c>
      <c r="G20" s="20" t="n">
        <v>64</v>
      </c>
      <c r="H20" s="20" t="s">
        <v>46</v>
      </c>
      <c r="I20" s="24"/>
      <c r="J20" s="23" t="s">
        <v>5</v>
      </c>
      <c r="K20" s="24"/>
      <c r="L20" s="24"/>
      <c r="M20" s="20" t="str">
        <f aca="false">IF(AND(K20&lt;&gt;"",L20&lt;&gt;""),L20-K20,"")</f>
        <v/>
      </c>
      <c r="N20" s="25"/>
      <c r="O20" s="25"/>
      <c r="P20" s="23" t="s">
        <v>57</v>
      </c>
      <c r="Q20" s="22" t="s">
        <v>96</v>
      </c>
    </row>
    <row r="21" customFormat="false" ht="15" hidden="false" customHeight="false" outlineLevel="0" collapsed="false">
      <c r="A21" s="21" t="s">
        <v>97</v>
      </c>
      <c r="B21" s="20" t="n">
        <v>7</v>
      </c>
      <c r="C21" s="22" t="s">
        <v>98</v>
      </c>
      <c r="D21" s="22" t="s">
        <v>99</v>
      </c>
      <c r="E21" s="20" t="s">
        <v>62</v>
      </c>
      <c r="F21" s="20" t="s">
        <v>45</v>
      </c>
      <c r="G21" s="20" t="n">
        <v>64</v>
      </c>
      <c r="H21" s="20" t="s">
        <v>46</v>
      </c>
      <c r="I21" s="24"/>
      <c r="J21" s="23" t="s">
        <v>5</v>
      </c>
      <c r="K21" s="24"/>
      <c r="L21" s="24"/>
      <c r="M21" s="20" t="str">
        <f aca="false">IF(AND(K21&lt;&gt;"",L21&lt;&gt;""),L21-K21,"")</f>
        <v/>
      </c>
      <c r="N21" s="25"/>
      <c r="O21" s="25"/>
      <c r="P21" s="23" t="s">
        <v>57</v>
      </c>
      <c r="Q21" s="22" t="s">
        <v>100</v>
      </c>
    </row>
    <row r="22" customFormat="false" ht="15" hidden="false" customHeight="false" outlineLevel="0" collapsed="false">
      <c r="A22" s="21" t="s">
        <v>101</v>
      </c>
      <c r="B22" s="20" t="n">
        <v>7</v>
      </c>
      <c r="C22" s="22" t="s">
        <v>102</v>
      </c>
      <c r="D22" s="22" t="s">
        <v>99</v>
      </c>
      <c r="E22" s="20" t="s">
        <v>62</v>
      </c>
      <c r="F22" s="20" t="s">
        <v>45</v>
      </c>
      <c r="G22" s="20" t="n">
        <v>64</v>
      </c>
      <c r="H22" s="20" t="s">
        <v>46</v>
      </c>
      <c r="I22" s="24"/>
      <c r="J22" s="23" t="s">
        <v>5</v>
      </c>
      <c r="K22" s="24"/>
      <c r="L22" s="24"/>
      <c r="M22" s="20" t="str">
        <f aca="false">IF(AND(K22&lt;&gt;"",L22&lt;&gt;""),L22-K22,"")</f>
        <v/>
      </c>
      <c r="N22" s="25"/>
      <c r="O22" s="25"/>
      <c r="P22" s="23" t="s">
        <v>57</v>
      </c>
      <c r="Q22" s="22" t="s">
        <v>103</v>
      </c>
    </row>
    <row r="23" customFormat="false" ht="15" hidden="false" customHeight="false" outlineLevel="0" collapsed="false">
      <c r="A23" s="21" t="s">
        <v>104</v>
      </c>
      <c r="B23" s="20" t="n">
        <v>8</v>
      </c>
      <c r="C23" s="22" t="s">
        <v>105</v>
      </c>
      <c r="D23" s="22" t="s">
        <v>106</v>
      </c>
      <c r="E23" s="20" t="s">
        <v>55</v>
      </c>
      <c r="F23" s="20" t="s">
        <v>56</v>
      </c>
      <c r="G23" s="20" t="n">
        <v>48</v>
      </c>
      <c r="H23" s="20" t="s">
        <v>46</v>
      </c>
      <c r="I23" s="24"/>
      <c r="J23" s="26" t="s">
        <v>10</v>
      </c>
      <c r="K23" s="24"/>
      <c r="L23" s="24"/>
      <c r="M23" s="20" t="str">
        <f aca="false">IF(AND(K23&lt;&gt;"",L23&lt;&gt;""),L23-K23,"")</f>
        <v/>
      </c>
      <c r="N23" s="25"/>
      <c r="O23" s="25"/>
      <c r="P23" s="23" t="s">
        <v>57</v>
      </c>
      <c r="Q23" s="22" t="s">
        <v>107</v>
      </c>
    </row>
    <row r="24" customFormat="false" ht="15" hidden="false" customHeight="false" outlineLevel="0" collapsed="false">
      <c r="A24" s="21" t="s">
        <v>108</v>
      </c>
      <c r="B24" s="20" t="n">
        <v>8</v>
      </c>
      <c r="C24" s="22" t="s">
        <v>105</v>
      </c>
      <c r="D24" s="22" t="s">
        <v>106</v>
      </c>
      <c r="E24" s="20" t="s">
        <v>44</v>
      </c>
      <c r="F24" s="20" t="s">
        <v>56</v>
      </c>
      <c r="G24" s="20" t="n">
        <v>64</v>
      </c>
      <c r="H24" s="20" t="s">
        <v>46</v>
      </c>
      <c r="I24" s="24"/>
      <c r="J24" s="26" t="s">
        <v>10</v>
      </c>
      <c r="K24" s="24"/>
      <c r="L24" s="24"/>
      <c r="M24" s="20" t="str">
        <f aca="false">IF(AND(K24&lt;&gt;"",L24&lt;&gt;""),L24-K24,"")</f>
        <v/>
      </c>
      <c r="N24" s="25"/>
      <c r="O24" s="25"/>
      <c r="P24" s="23" t="s">
        <v>57</v>
      </c>
      <c r="Q24" s="22" t="s">
        <v>109</v>
      </c>
    </row>
    <row r="25" customFormat="false" ht="23.85" hidden="false" customHeight="false" outlineLevel="0" collapsed="false">
      <c r="A25" s="21" t="s">
        <v>110</v>
      </c>
      <c r="B25" s="20" t="n">
        <v>9</v>
      </c>
      <c r="C25" s="22" t="s">
        <v>111</v>
      </c>
      <c r="D25" s="22" t="s">
        <v>112</v>
      </c>
      <c r="E25" s="20" t="s">
        <v>55</v>
      </c>
      <c r="F25" s="20" t="s">
        <v>56</v>
      </c>
      <c r="G25" s="20" t="n">
        <v>48</v>
      </c>
      <c r="H25" s="20" t="s">
        <v>46</v>
      </c>
      <c r="I25" s="24"/>
      <c r="J25" s="26" t="s">
        <v>10</v>
      </c>
      <c r="K25" s="24"/>
      <c r="L25" s="24"/>
      <c r="M25" s="20" t="str">
        <f aca="false">IF(AND(K25&lt;&gt;"",L25&lt;&gt;""),L25-K25,"")</f>
        <v/>
      </c>
      <c r="N25" s="25"/>
      <c r="O25" s="25"/>
      <c r="P25" s="23" t="s">
        <v>57</v>
      </c>
      <c r="Q25" s="22" t="s">
        <v>113</v>
      </c>
    </row>
    <row r="26" customFormat="false" ht="23.85" hidden="false" customHeight="false" outlineLevel="0" collapsed="false">
      <c r="A26" s="21" t="s">
        <v>114</v>
      </c>
      <c r="B26" s="20" t="n">
        <v>9</v>
      </c>
      <c r="C26" s="22" t="s">
        <v>111</v>
      </c>
      <c r="D26" s="22" t="s">
        <v>112</v>
      </c>
      <c r="E26" s="20" t="s">
        <v>44</v>
      </c>
      <c r="F26" s="20" t="s">
        <v>56</v>
      </c>
      <c r="G26" s="20" t="n">
        <v>64</v>
      </c>
      <c r="H26" s="20" t="s">
        <v>46</v>
      </c>
      <c r="I26" s="24"/>
      <c r="J26" s="26" t="s">
        <v>10</v>
      </c>
      <c r="K26" s="24"/>
      <c r="L26" s="24"/>
      <c r="M26" s="20" t="str">
        <f aca="false">IF(AND(K26&lt;&gt;"",L26&lt;&gt;""),L26-K26,"")</f>
        <v/>
      </c>
      <c r="N26" s="25"/>
      <c r="O26" s="25"/>
      <c r="P26" s="23" t="s">
        <v>57</v>
      </c>
      <c r="Q26" s="22" t="s">
        <v>115</v>
      </c>
    </row>
  </sheetData>
  <autoFilter ref="A3:Q26"/>
  <dataValidations count="2">
    <dataValidation allowBlank="true" errorStyle="stop" operator="between" showDropDown="false" showErrorMessage="false" showInputMessage="false" sqref="J4:J67" type="list">
      <formula1>"Not started,Queued,Running,Done,Failed,Optional,Dropped"</formula1>
      <formula2>0</formula2>
    </dataValidation>
    <dataValidation allowBlank="true" errorStyle="stop" operator="between" showDropDown="false" showErrorMessage="false" showInputMessage="false" sqref="P4:P67" type="list">
      <formula1>"Yes,No,Partial"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4" min="3" style="0" width="3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8" min="7" style="0" width="20"/>
    <col collapsed="false" customWidth="true" hidden="false" outlineLevel="0" max="9" min="9" style="0" width="44"/>
    <col collapsed="false" customWidth="true" hidden="false" outlineLevel="0" max="10" min="10" style="0" width="58"/>
  </cols>
  <sheetData>
    <row r="1" customFormat="false" ht="16.15" hidden="false" customHeight="false" outlineLevel="0" collapsed="false">
      <c r="A1" s="14" t="s">
        <v>116</v>
      </c>
    </row>
    <row r="2" customFormat="false" ht="15" hidden="false" customHeight="false" outlineLevel="0" collapsed="false">
      <c r="A2" s="2" t="s">
        <v>117</v>
      </c>
    </row>
    <row r="3" customFormat="false" ht="23.85" hidden="false" customHeight="false" outlineLevel="0" collapsed="false">
      <c r="A3" s="15" t="s">
        <v>27</v>
      </c>
      <c r="B3" s="15" t="s">
        <v>28</v>
      </c>
      <c r="C3" s="15" t="s">
        <v>118</v>
      </c>
      <c r="D3" s="15" t="s">
        <v>119</v>
      </c>
      <c r="E3" s="15" t="s">
        <v>120</v>
      </c>
      <c r="F3" s="15" t="s">
        <v>121</v>
      </c>
      <c r="G3" s="15" t="s">
        <v>122</v>
      </c>
      <c r="H3" s="15" t="s">
        <v>123</v>
      </c>
      <c r="I3" s="15" t="s">
        <v>124</v>
      </c>
      <c r="J3" s="15" t="s">
        <v>125</v>
      </c>
    </row>
    <row r="4" customFormat="false" ht="23.85" hidden="false" customHeight="false" outlineLevel="0" collapsed="false">
      <c r="A4" s="21" t="s">
        <v>76</v>
      </c>
      <c r="B4" s="22" t="s">
        <v>126</v>
      </c>
      <c r="C4" s="22" t="s">
        <v>127</v>
      </c>
      <c r="D4" s="22" t="s">
        <v>128</v>
      </c>
      <c r="E4" s="20" t="s">
        <v>46</v>
      </c>
      <c r="F4" s="20" t="s">
        <v>46</v>
      </c>
      <c r="G4" s="22" t="s">
        <v>129</v>
      </c>
      <c r="H4" s="22" t="s">
        <v>130</v>
      </c>
      <c r="I4" s="22" t="s">
        <v>131</v>
      </c>
      <c r="J4" s="22" t="s">
        <v>132</v>
      </c>
    </row>
    <row r="5" customFormat="false" ht="23.85" hidden="false" customHeight="false" outlineLevel="0" collapsed="false">
      <c r="A5" s="21" t="s">
        <v>82</v>
      </c>
      <c r="B5" s="22" t="s">
        <v>133</v>
      </c>
      <c r="C5" s="22" t="s">
        <v>134</v>
      </c>
      <c r="D5" s="22" t="s">
        <v>43</v>
      </c>
      <c r="E5" s="20" t="s">
        <v>46</v>
      </c>
      <c r="F5" s="20" t="s">
        <v>46</v>
      </c>
      <c r="G5" s="22" t="s">
        <v>135</v>
      </c>
      <c r="H5" s="22" t="s">
        <v>130</v>
      </c>
      <c r="I5" s="22" t="s">
        <v>136</v>
      </c>
      <c r="J5" s="22" t="s">
        <v>137</v>
      </c>
    </row>
    <row r="6" customFormat="false" ht="23.85" hidden="false" customHeight="false" outlineLevel="0" collapsed="false">
      <c r="A6" s="21" t="s">
        <v>88</v>
      </c>
      <c r="B6" s="22" t="s">
        <v>138</v>
      </c>
      <c r="C6" s="22" t="s">
        <v>139</v>
      </c>
      <c r="D6" s="22" t="s">
        <v>43</v>
      </c>
      <c r="E6" s="20" t="s">
        <v>46</v>
      </c>
      <c r="F6" s="20" t="s">
        <v>46</v>
      </c>
      <c r="G6" s="22" t="s">
        <v>140</v>
      </c>
      <c r="H6" s="22" t="s">
        <v>130</v>
      </c>
      <c r="I6" s="22" t="s">
        <v>141</v>
      </c>
      <c r="J6" s="22" t="s">
        <v>142</v>
      </c>
    </row>
    <row r="7" customFormat="false" ht="23.85" hidden="false" customHeight="false" outlineLevel="0" collapsed="false">
      <c r="A7" s="21" t="s">
        <v>105</v>
      </c>
      <c r="B7" s="22" t="s">
        <v>143</v>
      </c>
      <c r="C7" s="22" t="s">
        <v>144</v>
      </c>
      <c r="D7" s="22" t="s">
        <v>145</v>
      </c>
      <c r="E7" s="20" t="s">
        <v>46</v>
      </c>
      <c r="F7" s="20" t="s">
        <v>46</v>
      </c>
      <c r="G7" s="22" t="s">
        <v>146</v>
      </c>
      <c r="H7" s="22" t="s">
        <v>147</v>
      </c>
      <c r="I7" s="22" t="s">
        <v>148</v>
      </c>
      <c r="J7" s="22" t="s">
        <v>149</v>
      </c>
    </row>
    <row r="8" customFormat="false" ht="23.85" hidden="false" customHeight="false" outlineLevel="0" collapsed="false">
      <c r="A8" s="21" t="s">
        <v>94</v>
      </c>
      <c r="B8" s="22" t="s">
        <v>150</v>
      </c>
      <c r="C8" s="22" t="s">
        <v>151</v>
      </c>
      <c r="D8" s="22" t="s">
        <v>43</v>
      </c>
      <c r="E8" s="20" t="s">
        <v>46</v>
      </c>
      <c r="F8" s="20" t="s">
        <v>46</v>
      </c>
      <c r="G8" s="22" t="s">
        <v>146</v>
      </c>
      <c r="H8" s="22" t="s">
        <v>130</v>
      </c>
      <c r="I8" s="22" t="s">
        <v>152</v>
      </c>
      <c r="J8" s="22" t="s">
        <v>153</v>
      </c>
    </row>
    <row r="9" customFormat="false" ht="15" hidden="false" customHeight="false" outlineLevel="0" collapsed="false">
      <c r="A9" s="21" t="s">
        <v>154</v>
      </c>
      <c r="B9" s="22" t="s">
        <v>155</v>
      </c>
      <c r="C9" s="22" t="s">
        <v>156</v>
      </c>
      <c r="D9" s="22" t="s">
        <v>157</v>
      </c>
      <c r="E9" s="20" t="s">
        <v>46</v>
      </c>
      <c r="F9" s="20" t="s">
        <v>46</v>
      </c>
      <c r="G9" s="22" t="s">
        <v>146</v>
      </c>
      <c r="H9" s="22" t="s">
        <v>130</v>
      </c>
      <c r="I9" s="22" t="s">
        <v>158</v>
      </c>
      <c r="J9" s="22" t="s">
        <v>159</v>
      </c>
    </row>
    <row r="10" customFormat="false" ht="23.85" hidden="false" customHeight="false" outlineLevel="0" collapsed="false">
      <c r="A10" s="21" t="s">
        <v>160</v>
      </c>
      <c r="B10" s="22" t="s">
        <v>155</v>
      </c>
      <c r="C10" s="22" t="s">
        <v>161</v>
      </c>
      <c r="D10" s="22" t="s">
        <v>157</v>
      </c>
      <c r="E10" s="20" t="s">
        <v>46</v>
      </c>
      <c r="F10" s="20" t="s">
        <v>46</v>
      </c>
      <c r="G10" s="22" t="s">
        <v>162</v>
      </c>
      <c r="H10" s="22" t="s">
        <v>10</v>
      </c>
      <c r="I10" s="22" t="s">
        <v>158</v>
      </c>
      <c r="J10" s="22" t="s">
        <v>163</v>
      </c>
    </row>
    <row r="11" customFormat="false" ht="23.85" hidden="false" customHeight="false" outlineLevel="0" collapsed="false">
      <c r="A11" s="21" t="s">
        <v>69</v>
      </c>
      <c r="B11" s="22" t="s">
        <v>164</v>
      </c>
      <c r="C11" s="22" t="s">
        <v>165</v>
      </c>
      <c r="D11" s="22" t="s">
        <v>166</v>
      </c>
      <c r="E11" s="20" t="s">
        <v>46</v>
      </c>
      <c r="F11" s="20" t="s">
        <v>46</v>
      </c>
      <c r="G11" s="22" t="s">
        <v>167</v>
      </c>
      <c r="H11" s="22" t="s">
        <v>130</v>
      </c>
      <c r="I11" s="22" t="s">
        <v>168</v>
      </c>
      <c r="J11" s="22" t="s">
        <v>169</v>
      </c>
    </row>
    <row r="12" customFormat="false" ht="23.85" hidden="false" customHeight="false" outlineLevel="0" collapsed="false">
      <c r="A12" s="21" t="s">
        <v>111</v>
      </c>
      <c r="B12" s="22" t="s">
        <v>170</v>
      </c>
      <c r="C12" s="22" t="s">
        <v>171</v>
      </c>
      <c r="D12" s="22" t="s">
        <v>172</v>
      </c>
      <c r="E12" s="20" t="s">
        <v>46</v>
      </c>
      <c r="F12" s="20" t="s">
        <v>46</v>
      </c>
      <c r="G12" s="22" t="s">
        <v>173</v>
      </c>
      <c r="H12" s="22" t="s">
        <v>147</v>
      </c>
      <c r="I12" s="22" t="s">
        <v>174</v>
      </c>
      <c r="J12" s="22" t="s">
        <v>175</v>
      </c>
    </row>
    <row r="13" customFormat="false" ht="23.85" hidden="false" customHeight="false" outlineLevel="0" collapsed="false">
      <c r="A13" s="21" t="s">
        <v>176</v>
      </c>
      <c r="B13" s="22" t="s">
        <v>177</v>
      </c>
      <c r="C13" s="22" t="s">
        <v>178</v>
      </c>
      <c r="D13" s="22" t="s">
        <v>43</v>
      </c>
      <c r="E13" s="20" t="s">
        <v>46</v>
      </c>
      <c r="F13" s="20" t="s">
        <v>46</v>
      </c>
      <c r="G13" s="22" t="s">
        <v>146</v>
      </c>
      <c r="H13" s="22" t="s">
        <v>11</v>
      </c>
      <c r="I13" s="22" t="s">
        <v>179</v>
      </c>
      <c r="J13" s="22" t="s">
        <v>180</v>
      </c>
    </row>
    <row r="14" customFormat="false" ht="23.85" hidden="false" customHeight="false" outlineLevel="0" collapsed="false">
      <c r="A14" s="21" t="s">
        <v>181</v>
      </c>
      <c r="B14" s="22" t="s">
        <v>182</v>
      </c>
      <c r="C14" s="22" t="s">
        <v>183</v>
      </c>
      <c r="D14" s="22" t="s">
        <v>184</v>
      </c>
      <c r="E14" s="20" t="s">
        <v>46</v>
      </c>
      <c r="F14" s="20" t="s">
        <v>46</v>
      </c>
      <c r="G14" s="22" t="s">
        <v>146</v>
      </c>
      <c r="H14" s="22" t="s">
        <v>11</v>
      </c>
      <c r="I14" s="22" t="s">
        <v>185</v>
      </c>
      <c r="J14" s="22" t="s">
        <v>186</v>
      </c>
    </row>
    <row r="15" customFormat="false" ht="23.85" hidden="false" customHeight="false" outlineLevel="0" collapsed="false">
      <c r="A15" s="21" t="s">
        <v>187</v>
      </c>
      <c r="B15" s="22" t="s">
        <v>188</v>
      </c>
      <c r="C15" s="22" t="s">
        <v>189</v>
      </c>
      <c r="D15" s="22" t="s">
        <v>190</v>
      </c>
      <c r="E15" s="20" t="s">
        <v>191</v>
      </c>
      <c r="F15" s="20" t="s">
        <v>46</v>
      </c>
      <c r="G15" s="22" t="s">
        <v>146</v>
      </c>
      <c r="H15" s="22" t="s">
        <v>192</v>
      </c>
      <c r="I15" s="22" t="s">
        <v>193</v>
      </c>
      <c r="J15" s="22" t="s">
        <v>194</v>
      </c>
    </row>
    <row r="16" customFormat="false" ht="15" hidden="false" customHeight="false" outlineLevel="0" collapsed="false">
      <c r="A16" s="21" t="s">
        <v>195</v>
      </c>
      <c r="B16" s="22" t="s">
        <v>196</v>
      </c>
      <c r="C16" s="22" t="s">
        <v>197</v>
      </c>
      <c r="D16" s="22" t="s">
        <v>43</v>
      </c>
      <c r="E16" s="20" t="s">
        <v>57</v>
      </c>
      <c r="F16" s="20" t="s">
        <v>57</v>
      </c>
      <c r="G16" s="22" t="s">
        <v>146</v>
      </c>
      <c r="H16" s="22" t="s">
        <v>192</v>
      </c>
      <c r="I16" s="22" t="s">
        <v>198</v>
      </c>
      <c r="J16" s="22" t="s">
        <v>199</v>
      </c>
    </row>
    <row r="17" customFormat="false" ht="23.85" hidden="false" customHeight="false" outlineLevel="0" collapsed="false">
      <c r="A17" s="21" t="s">
        <v>200</v>
      </c>
      <c r="B17" s="22" t="s">
        <v>201</v>
      </c>
      <c r="C17" s="22" t="s">
        <v>202</v>
      </c>
      <c r="D17" s="22" t="s">
        <v>43</v>
      </c>
      <c r="E17" s="20" t="s">
        <v>57</v>
      </c>
      <c r="F17" s="20" t="s">
        <v>57</v>
      </c>
      <c r="G17" s="22" t="s">
        <v>146</v>
      </c>
      <c r="H17" s="22" t="s">
        <v>192</v>
      </c>
      <c r="I17" s="22" t="s">
        <v>198</v>
      </c>
      <c r="J17" s="22" t="s">
        <v>203</v>
      </c>
    </row>
    <row r="18" customFormat="false" ht="23.85" hidden="false" customHeight="false" outlineLevel="0" collapsed="false">
      <c r="A18" s="21" t="s">
        <v>204</v>
      </c>
      <c r="B18" s="22" t="s">
        <v>205</v>
      </c>
      <c r="C18" s="22" t="s">
        <v>206</v>
      </c>
      <c r="D18" s="22" t="s">
        <v>207</v>
      </c>
      <c r="E18" s="20" t="s">
        <v>46</v>
      </c>
      <c r="F18" s="20" t="s">
        <v>46</v>
      </c>
      <c r="G18" s="22" t="s">
        <v>43</v>
      </c>
      <c r="H18" s="22" t="s">
        <v>208</v>
      </c>
      <c r="I18" s="22" t="s">
        <v>209</v>
      </c>
      <c r="J18" s="22" t="s">
        <v>210</v>
      </c>
    </row>
  </sheetData>
  <autoFilter ref="A3:J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34"/>
    <col collapsed="false" customWidth="true" hidden="false" outlineLevel="0" max="4" min="4" style="0" width="11"/>
    <col collapsed="false" customWidth="true" hidden="false" outlineLevel="0" max="5" min="5" style="0" width="62"/>
  </cols>
  <sheetData>
    <row r="1" customFormat="false" ht="16.15" hidden="false" customHeight="false" outlineLevel="0" collapsed="false">
      <c r="A1" s="14" t="s">
        <v>211</v>
      </c>
    </row>
    <row r="2" customFormat="false" ht="15" hidden="false" customHeight="false" outlineLevel="0" collapsed="false">
      <c r="A2" s="2" t="s">
        <v>212</v>
      </c>
    </row>
    <row r="3" customFormat="false" ht="15" hidden="false" customHeight="false" outlineLevel="0" collapsed="false">
      <c r="A3" s="15" t="s">
        <v>213</v>
      </c>
      <c r="B3" s="15" t="s">
        <v>214</v>
      </c>
      <c r="C3" s="15" t="s">
        <v>215</v>
      </c>
      <c r="D3" s="15" t="s">
        <v>216</v>
      </c>
      <c r="E3" s="15" t="s">
        <v>40</v>
      </c>
    </row>
    <row r="4" customFormat="false" ht="15" hidden="false" customHeight="false" outlineLevel="0" collapsed="false">
      <c r="A4" s="27" t="s">
        <v>217</v>
      </c>
      <c r="B4" s="22" t="s">
        <v>218</v>
      </c>
      <c r="C4" s="25"/>
      <c r="D4" s="24"/>
      <c r="E4" s="22" t="s">
        <v>219</v>
      </c>
    </row>
    <row r="5" customFormat="false" ht="15" hidden="false" customHeight="false" outlineLevel="0" collapsed="false">
      <c r="A5" s="27" t="s">
        <v>220</v>
      </c>
      <c r="B5" s="22" t="s">
        <v>221</v>
      </c>
      <c r="C5" s="25"/>
      <c r="D5" s="24"/>
      <c r="E5" s="22" t="s">
        <v>222</v>
      </c>
    </row>
    <row r="6" customFormat="false" ht="15" hidden="false" customHeight="false" outlineLevel="0" collapsed="false">
      <c r="A6" s="27" t="s">
        <v>223</v>
      </c>
      <c r="B6" s="22" t="s">
        <v>224</v>
      </c>
      <c r="C6" s="25"/>
      <c r="D6" s="24"/>
      <c r="E6" s="22" t="s">
        <v>225</v>
      </c>
    </row>
    <row r="7" customFormat="false" ht="15" hidden="false" customHeight="false" outlineLevel="0" collapsed="false">
      <c r="A7" s="27" t="s">
        <v>226</v>
      </c>
      <c r="B7" s="22" t="s">
        <v>227</v>
      </c>
      <c r="C7" s="25"/>
      <c r="D7" s="24"/>
      <c r="E7" s="22" t="s">
        <v>228</v>
      </c>
    </row>
    <row r="8" customFormat="false" ht="15" hidden="false" customHeight="false" outlineLevel="0" collapsed="false">
      <c r="A8" s="27" t="s">
        <v>229</v>
      </c>
      <c r="B8" s="22"/>
      <c r="C8" s="25"/>
      <c r="D8" s="24"/>
      <c r="E8" s="22" t="s">
        <v>230</v>
      </c>
    </row>
    <row r="9" customFormat="false" ht="15" hidden="false" customHeight="false" outlineLevel="0" collapsed="false">
      <c r="A9" s="27" t="s">
        <v>231</v>
      </c>
      <c r="B9" s="22" t="s">
        <v>232</v>
      </c>
      <c r="C9" s="25"/>
      <c r="D9" s="24"/>
      <c r="E9" s="22" t="s">
        <v>222</v>
      </c>
    </row>
    <row r="10" customFormat="false" ht="15" hidden="false" customHeight="false" outlineLevel="0" collapsed="false">
      <c r="A10" s="27" t="s">
        <v>233</v>
      </c>
      <c r="B10" s="22" t="s">
        <v>234</v>
      </c>
      <c r="C10" s="25"/>
      <c r="D10" s="24"/>
      <c r="E10" s="22" t="s">
        <v>235</v>
      </c>
    </row>
    <row r="11" customFormat="false" ht="15" hidden="false" customHeight="false" outlineLevel="0" collapsed="false">
      <c r="A11" s="27" t="s">
        <v>236</v>
      </c>
      <c r="B11" s="22" t="s">
        <v>237</v>
      </c>
      <c r="C11" s="25"/>
      <c r="D11" s="24"/>
      <c r="E11" s="22" t="s">
        <v>222</v>
      </c>
    </row>
    <row r="12" customFormat="false" ht="15" hidden="false" customHeight="false" outlineLevel="0" collapsed="false">
      <c r="A12" s="27" t="s">
        <v>238</v>
      </c>
      <c r="B12" s="22" t="s">
        <v>239</v>
      </c>
      <c r="C12" s="25"/>
      <c r="D12" s="24"/>
      <c r="E12" s="22" t="s">
        <v>240</v>
      </c>
    </row>
    <row r="13" customFormat="false" ht="15" hidden="false" customHeight="false" outlineLevel="0" collapsed="false">
      <c r="A13" s="27" t="s">
        <v>241</v>
      </c>
      <c r="B13" s="22" t="s">
        <v>242</v>
      </c>
      <c r="C13" s="25"/>
      <c r="D13" s="24"/>
      <c r="E13" s="22" t="s">
        <v>243</v>
      </c>
    </row>
    <row r="14" customFormat="false" ht="15" hidden="false" customHeight="false" outlineLevel="0" collapsed="false">
      <c r="A14" s="27" t="s">
        <v>244</v>
      </c>
      <c r="B14" s="22" t="s">
        <v>245</v>
      </c>
      <c r="C14" s="25"/>
      <c r="D14" s="24"/>
      <c r="E14" s="22" t="s">
        <v>246</v>
      </c>
    </row>
    <row r="15" customFormat="false" ht="15" hidden="false" customHeight="false" outlineLevel="0" collapsed="false">
      <c r="A15" s="27" t="s">
        <v>247</v>
      </c>
      <c r="B15" s="22" t="s">
        <v>248</v>
      </c>
      <c r="C15" s="25"/>
      <c r="D15" s="24"/>
      <c r="E15" s="22"/>
    </row>
    <row r="16" customFormat="false" ht="15" hidden="false" customHeight="false" outlineLevel="0" collapsed="false">
      <c r="A16" s="27" t="s">
        <v>249</v>
      </c>
      <c r="B16" s="22" t="s">
        <v>250</v>
      </c>
      <c r="C16" s="25"/>
      <c r="D16" s="24"/>
      <c r="E16" s="22" t="s">
        <v>251</v>
      </c>
    </row>
  </sheetData>
  <autoFilter ref="A3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"/>
    <col collapsed="false" customWidth="true" hidden="false" outlineLevel="0" max="7" min="3" style="0" width="9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3" min="11" style="0" width="10"/>
    <col collapsed="false" customWidth="true" hidden="false" outlineLevel="0" max="14" min="14" style="0" width="40"/>
  </cols>
  <sheetData>
    <row r="1" customFormat="false" ht="16.15" hidden="false" customHeight="false" outlineLevel="0" collapsed="false">
      <c r="A1" s="14" t="s">
        <v>252</v>
      </c>
    </row>
    <row r="2" customFormat="false" ht="15" hidden="false" customHeight="false" outlineLevel="0" collapsed="false">
      <c r="A2" s="2" t="s">
        <v>253</v>
      </c>
    </row>
    <row r="3" customFormat="false" ht="23.85" hidden="false" customHeight="false" outlineLevel="0" collapsed="false">
      <c r="A3" s="15" t="s">
        <v>27</v>
      </c>
      <c r="B3" s="15" t="s">
        <v>29</v>
      </c>
      <c r="C3" s="15" t="s">
        <v>254</v>
      </c>
      <c r="D3" s="15" t="s">
        <v>255</v>
      </c>
      <c r="E3" s="15" t="s">
        <v>256</v>
      </c>
      <c r="F3" s="15" t="s">
        <v>257</v>
      </c>
      <c r="G3" s="15" t="s">
        <v>258</v>
      </c>
      <c r="H3" s="15" t="s">
        <v>259</v>
      </c>
      <c r="I3" s="15" t="s">
        <v>260</v>
      </c>
      <c r="J3" s="15" t="s">
        <v>261</v>
      </c>
      <c r="K3" s="15" t="s">
        <v>262</v>
      </c>
      <c r="L3" s="15" t="s">
        <v>263</v>
      </c>
      <c r="M3" s="15" t="s">
        <v>264</v>
      </c>
      <c r="N3" s="15" t="s">
        <v>40</v>
      </c>
    </row>
    <row r="4" customFormat="false" ht="15" hidden="false" customHeight="false" outlineLevel="0" collapsed="false">
      <c r="A4" s="27" t="s">
        <v>265</v>
      </c>
      <c r="B4" s="20" t="s">
        <v>55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2" t="s">
        <v>266</v>
      </c>
    </row>
    <row r="5" customFormat="false" ht="15" hidden="false" customHeight="false" outlineLevel="0" collapsed="false">
      <c r="A5" s="27" t="s">
        <v>265</v>
      </c>
      <c r="B5" s="20" t="s">
        <v>44</v>
      </c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2" t="s">
        <v>266</v>
      </c>
    </row>
    <row r="6" customFormat="false" ht="15" hidden="false" customHeight="false" outlineLevel="0" collapsed="false">
      <c r="A6" s="27" t="s">
        <v>265</v>
      </c>
      <c r="B6" s="20" t="s">
        <v>62</v>
      </c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2" t="s">
        <v>266</v>
      </c>
    </row>
    <row r="7" customFormat="false" ht="15" hidden="false" customHeight="false" outlineLevel="0" collapsed="false">
      <c r="A7" s="27" t="s">
        <v>267</v>
      </c>
      <c r="B7" s="20" t="s">
        <v>55</v>
      </c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2" t="s">
        <v>266</v>
      </c>
    </row>
    <row r="8" customFormat="false" ht="15" hidden="false" customHeight="false" outlineLevel="0" collapsed="false">
      <c r="A8" s="27" t="s">
        <v>268</v>
      </c>
      <c r="B8" s="20" t="s">
        <v>55</v>
      </c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2" t="s">
        <v>266</v>
      </c>
    </row>
    <row r="9" customFormat="false" ht="15" hidden="false" customHeight="false" outlineLevel="0" collapsed="false">
      <c r="A9" s="27" t="s">
        <v>268</v>
      </c>
      <c r="B9" s="20" t="s">
        <v>44</v>
      </c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2" t="s">
        <v>266</v>
      </c>
    </row>
    <row r="10" customFormat="false" ht="15" hidden="false" customHeight="false" outlineLevel="0" collapsed="false">
      <c r="A10" s="27" t="s">
        <v>268</v>
      </c>
      <c r="B10" s="20" t="s">
        <v>62</v>
      </c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2" t="s">
        <v>266</v>
      </c>
    </row>
    <row r="11" customFormat="false" ht="15" hidden="false" customHeight="false" outlineLevel="0" collapsed="false">
      <c r="A11" s="27" t="s">
        <v>269</v>
      </c>
      <c r="B11" s="20" t="s">
        <v>55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2" t="s">
        <v>266</v>
      </c>
    </row>
    <row r="12" customFormat="false" ht="15" hidden="false" customHeight="false" outlineLevel="0" collapsed="false">
      <c r="A12" s="27" t="s">
        <v>270</v>
      </c>
      <c r="B12" s="20" t="s">
        <v>55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2" t="s">
        <v>266</v>
      </c>
    </row>
    <row r="13" customFormat="false" ht="15" hidden="false" customHeight="false" outlineLevel="0" collapsed="false">
      <c r="A13" s="27" t="s">
        <v>53</v>
      </c>
      <c r="B13" s="20" t="s">
        <v>55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2" t="s">
        <v>271</v>
      </c>
    </row>
    <row r="14" customFormat="false" ht="15" hidden="false" customHeight="false" outlineLevel="0" collapsed="false">
      <c r="A14" s="27" t="s">
        <v>53</v>
      </c>
      <c r="B14" s="20" t="s">
        <v>44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2" t="s">
        <v>271</v>
      </c>
    </row>
    <row r="15" customFormat="false" ht="15" hidden="false" customHeight="false" outlineLevel="0" collapsed="false">
      <c r="A15" s="27" t="s">
        <v>53</v>
      </c>
      <c r="B15" s="20" t="s">
        <v>62</v>
      </c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2" t="s">
        <v>271</v>
      </c>
    </row>
    <row r="16" customFormat="false" ht="15" hidden="false" customHeight="false" outlineLevel="0" collapsed="false">
      <c r="A16" s="27" t="s">
        <v>69</v>
      </c>
      <c r="B16" s="20" t="s">
        <v>55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2" t="s">
        <v>271</v>
      </c>
    </row>
    <row r="17" customFormat="false" ht="15" hidden="false" customHeight="false" outlineLevel="0" collapsed="false">
      <c r="A17" s="27" t="s">
        <v>69</v>
      </c>
      <c r="B17" s="20" t="s">
        <v>44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2" t="s">
        <v>271</v>
      </c>
    </row>
    <row r="18" customFormat="false" ht="15" hidden="false" customHeight="false" outlineLevel="0" collapsed="false">
      <c r="A18" s="27" t="s">
        <v>69</v>
      </c>
      <c r="B18" s="20" t="s">
        <v>62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2" t="s">
        <v>271</v>
      </c>
    </row>
    <row r="19" customFormat="false" ht="15" hidden="false" customHeight="false" outlineLevel="0" collapsed="false">
      <c r="A19" s="27" t="s">
        <v>76</v>
      </c>
      <c r="B19" s="20" t="s">
        <v>55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2" t="s">
        <v>271</v>
      </c>
    </row>
    <row r="20" customFormat="false" ht="15" hidden="false" customHeight="false" outlineLevel="0" collapsed="false">
      <c r="A20" s="27" t="s">
        <v>76</v>
      </c>
      <c r="B20" s="20" t="s">
        <v>44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2" t="s">
        <v>271</v>
      </c>
    </row>
    <row r="21" customFormat="false" ht="15" hidden="false" customHeight="false" outlineLevel="0" collapsed="false">
      <c r="A21" s="27" t="s">
        <v>82</v>
      </c>
      <c r="B21" s="20" t="s">
        <v>55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2" t="s">
        <v>271</v>
      </c>
    </row>
    <row r="22" customFormat="false" ht="15" hidden="false" customHeight="false" outlineLevel="0" collapsed="false">
      <c r="A22" s="27" t="s">
        <v>82</v>
      </c>
      <c r="B22" s="20" t="s">
        <v>44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2" t="s">
        <v>271</v>
      </c>
    </row>
    <row r="23" customFormat="false" ht="15" hidden="false" customHeight="false" outlineLevel="0" collapsed="false">
      <c r="A23" s="27" t="s">
        <v>88</v>
      </c>
      <c r="B23" s="20" t="s">
        <v>55</v>
      </c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2" t="s">
        <v>271</v>
      </c>
    </row>
    <row r="24" customFormat="false" ht="15" hidden="false" customHeight="false" outlineLevel="0" collapsed="false">
      <c r="A24" s="27" t="s">
        <v>88</v>
      </c>
      <c r="B24" s="20" t="s">
        <v>44</v>
      </c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2" t="s">
        <v>271</v>
      </c>
    </row>
    <row r="25" customFormat="false" ht="15" hidden="false" customHeight="false" outlineLevel="0" collapsed="false">
      <c r="A25" s="27" t="s">
        <v>94</v>
      </c>
      <c r="B25" s="20" t="s">
        <v>44</v>
      </c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2" t="s">
        <v>271</v>
      </c>
    </row>
    <row r="26" customFormat="false" ht="15" hidden="false" customHeight="false" outlineLevel="0" collapsed="false">
      <c r="A26" s="27" t="s">
        <v>105</v>
      </c>
      <c r="B26" s="20" t="s">
        <v>55</v>
      </c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2" t="s">
        <v>271</v>
      </c>
    </row>
    <row r="27" customFormat="false" ht="15" hidden="false" customHeight="false" outlineLevel="0" collapsed="false">
      <c r="A27" s="27" t="s">
        <v>105</v>
      </c>
      <c r="B27" s="20" t="s">
        <v>44</v>
      </c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2" t="s">
        <v>271</v>
      </c>
    </row>
    <row r="28" customFormat="false" ht="15" hidden="false" customHeight="false" outlineLevel="0" collapsed="false">
      <c r="A28" s="27" t="s">
        <v>111</v>
      </c>
      <c r="B28" s="20" t="s">
        <v>55</v>
      </c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2" t="s">
        <v>271</v>
      </c>
    </row>
    <row r="29" customFormat="false" ht="15" hidden="false" customHeight="false" outlineLevel="0" collapsed="false">
      <c r="A29" s="27" t="s">
        <v>272</v>
      </c>
      <c r="B29" s="20" t="s">
        <v>62</v>
      </c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2" t="s">
        <v>271</v>
      </c>
    </row>
    <row r="30" customFormat="false" ht="15" hidden="false" customHeight="false" outlineLevel="0" collapsed="false">
      <c r="A30" s="27" t="s">
        <v>273</v>
      </c>
      <c r="B30" s="20" t="s">
        <v>62</v>
      </c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2" t="s">
        <v>271</v>
      </c>
    </row>
  </sheetData>
  <autoFilter ref="A3:N3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2026-09-09T16:51:34Z</dcterms:created>
  <dc:creator>openpyxl</dc:creator>
  <dc:description/>
  <dc:language>en-US</dc:language>
  <cp:lastModifiedBy/>
  <dcterms:modified xsi:type="dcterms:W3CDTF">2026-09-09T16:51:34Z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